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BaiduNetdiskDownload\第三章 Excel操作题\答案\3.1.4\"/>
    </mc:Choice>
  </mc:AlternateContent>
  <xr:revisionPtr revIDLastSave="0" documentId="13_ncr:1_{2E8A6F51-C2C5-4F87-B1CF-E265F72E51D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4" sheetId="4" r:id="rId1"/>
    <sheet name="Sheet1" sheetId="1" r:id="rId2"/>
  </sheets>
  <definedNames>
    <definedName name="_xlnm._FilterDatabase" localSheetId="1" hidden="1">Sheet1!$A$1:$F$169</definedName>
  </definedNames>
  <calcPr calcId="191029"/>
  <pivotCaches>
    <pivotCache cacheId="23" r:id="rId3"/>
    <pivotCache cacheId="35" r:id="rId4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2" i="1"/>
</calcChain>
</file>

<file path=xl/sharedStrings.xml><?xml version="1.0" encoding="utf-8"?>
<sst xmlns="http://schemas.openxmlformats.org/spreadsheetml/2006/main" count="202" uniqueCount="154">
  <si>
    <t>时间戳</t>
  </si>
  <si>
    <t>收缩压</t>
  </si>
  <si>
    <t>舒张压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</si>
  <si>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</si>
  <si>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</si>
  <si>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</si>
  <si>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</si>
  <si>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</si>
  <si>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</si>
  <si>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</si>
  <si>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</si>
  <si>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</si>
  <si>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</si>
  <si>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</si>
  <si>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</si>
  <si>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</si>
  <si>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</si>
  <si>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</si>
  <si>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</si>
  <si>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</si>
  <si>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</si>
  <si>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</si>
  <si>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</si>
  <si>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</si>
  <si>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</si>
  <si>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</si>
  <si>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</si>
  <si>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</si>
  <si>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</si>
  <si>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</si>
  <si>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</si>
  <si>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</si>
  <si>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</si>
  <si>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</si>
  <si>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</si>
  <si>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</si>
  <si>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</si>
  <si>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</si>
  <si>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</si>
  <si>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</si>
  <si>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</si>
  <si>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</si>
  <si>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</si>
  <si>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</si>
  <si>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</si>
  <si>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</si>
  <si>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</si>
  <si>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</si>
  <si>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</si>
  <si>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</si>
  <si>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</si>
  <si>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</si>
  <si>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</si>
  <si>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</si>
  <si>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</si>
  <si>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</si>
  <si>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</si>
  <si>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</si>
  <si>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</si>
  <si>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</si>
  <si>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</si>
  <si>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</si>
  <si>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</si>
  <si>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</si>
  <si>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</si>
  <si>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</si>
  <si>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</si>
  <si>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</si>
  <si>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</si>
  <si>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</si>
  <si>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</si>
  <si>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</si>
  <si>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</si>
  <si>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</si>
  <si>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</si>
  <si>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</si>
  <si>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</si>
  <si>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</si>
  <si>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</si>
  <si>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</si>
  <si>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</si>
  <si>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</si>
  <si>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</si>
  <si>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</si>
  <si>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</si>
  <si>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</si>
  <si>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</si>
  <si>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</si>
  <si>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</si>
  <si>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</si>
  <si>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</si>
  <si>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</si>
  <si>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</si>
  <si>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</si>
  <si>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</si>
  <si>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</si>
  <si>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</si>
  <si>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</si>
  <si>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</si>
  <si>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</si>
  <si>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</si>
  <si>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07:00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</si>
  <si>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</si>
  <si>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</si>
  <si>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</si>
  <si>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</si>
  <si>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</si>
  <si>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</si>
  <si>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</si>
  <si>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</si>
  <si>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</si>
  <si>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</si>
  <si>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</si>
  <si>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</si>
  <si>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</si>
  <si>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</si>
  <si>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</si>
  <si>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</si>
  <si>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</si>
  <si>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</si>
  <si>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</si>
  <si>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响应时间</t>
    <phoneticPr fontId="2" type="noConversion"/>
  </si>
  <si>
    <t>体脂分析</t>
    <phoneticPr fontId="2" type="noConversion"/>
  </si>
  <si>
    <t>血糖</t>
    <phoneticPr fontId="2" type="noConversion"/>
  </si>
  <si>
    <t>行标签</t>
  </si>
  <si>
    <t>(空白)</t>
  </si>
  <si>
    <t>总计</t>
  </si>
  <si>
    <t>计数项:血糖</t>
  </si>
  <si>
    <t>计数项:收缩压</t>
  </si>
  <si>
    <t>计数项:舒张压</t>
  </si>
  <si>
    <t>计数项:体脂分析</t>
  </si>
  <si>
    <t>0.61925s</t>
    <phoneticPr fontId="2" type="noConversion"/>
  </si>
  <si>
    <t>0.59925s</t>
    <phoneticPr fontId="2" type="noConversion"/>
  </si>
  <si>
    <t>0.66125s</t>
    <phoneticPr fontId="2" type="noConversion"/>
  </si>
  <si>
    <t>平均值项:体脂分析</t>
  </si>
  <si>
    <t>平均值项:收缩压</t>
  </si>
  <si>
    <t>平均值项:血糖</t>
  </si>
  <si>
    <t>平均值项:舒张压</t>
  </si>
  <si>
    <t>hour</t>
    <phoneticPr fontId="2" type="noConversion"/>
  </si>
  <si>
    <t>00:00</t>
  </si>
  <si>
    <t>06:00</t>
  </si>
  <si>
    <t>07:00</t>
  </si>
  <si>
    <t>07:30</t>
  </si>
  <si>
    <t>08:00</t>
  </si>
  <si>
    <t>09:00</t>
  </si>
  <si>
    <t>10:00</t>
  </si>
  <si>
    <t>12:00</t>
  </si>
  <si>
    <t>13:00</t>
  </si>
  <si>
    <t>14:00</t>
  </si>
  <si>
    <t>16:00</t>
  </si>
  <si>
    <t>18:00</t>
  </si>
  <si>
    <t>19:00</t>
  </si>
  <si>
    <t>20:00</t>
  </si>
  <si>
    <t>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</si>
</sst>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76" fontId="1" fillId="0" borderId="0" xfId="0" applyNumberFormat="1" applyFont="1" applyBorder="1" applyAlignment="1">
      <alignment horizontal="center" vertical="top"/>
    </xf>
    <xf numFmtId="176" fontId="0" fillId="0" borderId="0" xfId="0" applyNumberFormat="1" applyBorder="1"/>
  </cellXfs>
  <cellStyles count="1">
    <cellStyle name="常规" xfId="0" builtinId="0"/>
  </cellStyles>
  <dxfs count="6"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15791</xdr:colOff>
      <xdr:row>0</xdr:row>
      <xdr:rowOff>44450</xdr:rowOff>
    </xdr:from>
    <xdr:to>
      <xdr:col>28</xdr:col>
      <xdr:colOff>46923</xdr:colOff>
      <xdr:row>21</xdr:row>
      <xdr:rowOff>2407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43599AC-4D9E-4BCD-9FE4-F79E4EB0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3441" y="44450"/>
          <a:ext cx="3371232" cy="36917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栾雨晨" refreshedDate="45859.919290393518" createdVersion="7" refreshedVersion="7" minRefreshableVersion="3" recordCount="169" xr:uid="{2B8AFB1F-A231-4DF7-8EFC-28A6B6F6591F}">
  <cacheSource type="worksheet">
    <worksheetSource ref="A1:F1048576" sheet="Sheet1"/>
  </cacheSource>
  <cacheFields count="6">
    <cacheField name="时间戳" numFmtId="0">
      <sharedItems containsBlank="1" count="121">
        <s v="2024-09-15 00:00"/>
        <s v="2024-09-15 06:00"/>
        <s v="2024-09-15 07:00"/>
        <s v="2024-09-15 07:30"/>
        <s v="2024-09-15 08:00"/>
        <s v="2024-09-15 09:00"/>
        <s v="2024-09-15 10:00"/>
        <s v="2024-09-15 12:00"/>
        <s v="2024-09-15 13:00"/>
        <s v="2024-09-15 14:00"/>
        <s v="2024-09-15 16:00"/>
        <s v="2024-09-15 18:00"/>
        <s v="2024-09-15 19:00"/>
        <s v="2024-09-15 20:00"/>
        <s v="2024-09-15 22:00"/>
        <s v="2024-09-16 00:00"/>
        <s v="2024-09-16 06:00"/>
        <s v="2024-09-16 07:00"/>
        <s v="2024-09-16 07:30"/>
        <s v="2024-09-16 08:00"/>
        <s v="2024-09-16 09:00"/>
        <s v="2024-09-16 10:00"/>
        <s v="2024-09-16 12:00"/>
        <s v="2024-09-16 13:00"/>
        <s v="2024-09-16 14:00"/>
        <s v="2024-09-16 16:00"/>
        <s v="2024-09-16 18:00"/>
        <s v="2024-09-16 19:00"/>
        <s v="2024-09-16 20:00"/>
        <s v="2024-09-16 22:00"/>
        <s v="2024-09-17 00:00"/>
        <s v="2024-09-17 06:00"/>
        <s v="2024-09-17 07:00"/>
        <s v="2024-09-17 07:30"/>
        <s v="2024-09-17 08:00"/>
        <s v="2024-09-17 09:00"/>
        <s v="2024-09-17 10:00"/>
        <s v="2024-09-17 12:00"/>
        <s v="2024-09-17 13:00"/>
        <s v="2024-09-17 14:00"/>
        <s v="2024-09-17 16:00"/>
        <s v="2024-09-17 18:00"/>
        <s v="2024-09-17 19:00"/>
        <s v="2024-09-17 20:00"/>
        <s v="2024-09-17 22:00"/>
        <s v="2024-09-18 00:00"/>
        <s v="2024-09-18 06:00"/>
        <s v="2024-09-18 07:00"/>
        <s v="2024-09-18 07:30"/>
        <s v="2024-09-18 08:00"/>
        <s v="2024-09-18 09:00"/>
        <s v="2024-09-18 10:00"/>
        <s v="2024-09-18 12:00"/>
        <s v="2024-09-18 13:00"/>
        <s v="2024-09-18 14:00"/>
        <s v="2024-09-18 16:00"/>
        <s v="2024-09-18 18:00"/>
        <s v="2024-09-18 19:00"/>
        <s v="2024-09-18 20:00"/>
        <s v="2024-09-18 22:00"/>
        <s v="2024-09-19 00:00"/>
        <s v="2024-09-19 06:00"/>
        <s v="2024-09-19 07:00"/>
        <s v="2024-09-19 07:30"/>
        <s v="2024-09-19 08:00"/>
        <s v="2024-09-19 09:00"/>
        <s v="2024-09-19 10:00"/>
        <s v="2024-09-19 12:00"/>
        <s v="2024-09-19 13:00"/>
        <s v="2024-09-19 14:00"/>
        <s v="2024-09-19 16:00"/>
        <s v="2024-09-19 18:00"/>
        <s v="2024-09-19 19:00"/>
        <s v="2024-09-19 20:00"/>
        <s v="2024-09-19 22:00"/>
        <s v="2024-09-20 00:00"/>
        <s v="2024-09-20 06:00"/>
        <s v="2024-09-20 07:00"/>
        <s v="2024-09-20 07:30"/>
        <s v="2024-09-20 08:00"/>
        <s v="2024-09-20 09:00"/>
        <s v="2024-09-20 10:00"/>
        <s v="2024-09-20 12:00"/>
        <s v="2024-09-20 13:00"/>
        <s v="2024-09-20 14:00"/>
        <s v="2024-09-20 16:00"/>
        <s v="2024-09-20 18:00"/>
        <s v="2024-09-20 19:00"/>
        <s v="2024-09-20 20:00"/>
        <s v="2024-09-20 22:00"/>
        <s v="2024-09-21 00:00"/>
        <s v="2024-09-21 06:00"/>
        <s v="2024-09-21 07:00"/>
        <s v="2024-09-21 07:30"/>
        <s v="2024-09-21 08:00"/>
        <s v="2024-09-21 09:00"/>
        <s v="2024-09-21 10:00"/>
        <s v="2024-09-21 12:00"/>
        <s v="2024-09-21 13:00"/>
        <s v="2024-09-21 14:00"/>
        <s v="2024-09-21 16:00"/>
        <s v="2024-09-21 18:00"/>
        <s v="2024-09-21 19:00"/>
        <s v="2024-09-21 20:00"/>
        <s v="2024-09-21 22:00"/>
        <s v="2024-09-22 00:00"/>
        <s v="2024-09-22 06:00"/>
        <s v="2024-09-22 07:00"/>
        <s v="2024-09-22 07:30"/>
        <s v="2024-09-22 08:00"/>
        <s v="2024-09-22 09:00"/>
        <s v="2024-09-22 10:00"/>
        <s v="2024-09-22 12:00"/>
        <s v="2024-09-22 13:00"/>
        <s v="2024-09-22 14:00"/>
        <s v="2024-09-22 16:00"/>
        <s v="2024-09-22 18:00"/>
        <s v="2024-09-22 19:00"/>
        <s v="2024-09-22 20:00"/>
        <s v="2024-09-22 22:00"/>
        <m/>
      </sharedItems>
    </cacheField>
    <cacheField name="收缩压" numFmtId="0">
      <sharedItems containsString="0" containsBlank="1" containsNumber="1" containsInteger="1" minValue="90" maxValue="150" count="49">
        <n v="111"/>
        <n v="128"/>
        <m/>
        <n v="132"/>
        <n v="110"/>
        <n v="108"/>
        <n v="100"/>
        <n v="113"/>
        <n v="125"/>
        <n v="105"/>
        <n v="91"/>
        <n v="143"/>
        <n v="127"/>
        <n v="101"/>
        <n v="133"/>
        <n v="138"/>
        <n v="131"/>
        <n v="136"/>
        <n v="150"/>
        <n v="92"/>
        <n v="140"/>
        <n v="93"/>
        <n v="103"/>
        <n v="98"/>
        <n v="118"/>
        <n v="117"/>
        <n v="106"/>
        <n v="97"/>
        <n v="124"/>
        <n v="139"/>
        <n v="95"/>
        <n v="107"/>
        <n v="99"/>
        <n v="120"/>
        <n v="104"/>
        <n v="129"/>
        <n v="134"/>
        <n v="114"/>
        <n v="90"/>
        <n v="137"/>
        <n v="122"/>
        <n v="94"/>
        <n v="130"/>
        <n v="96"/>
        <n v="123"/>
        <n v="115"/>
        <n v="112"/>
        <n v="116"/>
        <n v="126"/>
      </sharedItems>
    </cacheField>
    <cacheField name="舒张压" numFmtId="0">
      <sharedItems containsString="0" containsBlank="1" containsNumber="1" containsInteger="1" minValue="60" maxValue="90" count="30">
        <n v="80"/>
        <n v="79"/>
        <m/>
        <n v="74"/>
        <n v="67"/>
        <n v="66"/>
        <n v="82"/>
        <n v="70"/>
        <n v="62"/>
        <n v="83"/>
        <n v="89"/>
        <n v="61"/>
        <n v="60"/>
        <n v="85"/>
        <n v="88"/>
        <n v="84"/>
        <n v="86"/>
        <n v="87"/>
        <n v="71"/>
        <n v="64"/>
        <n v="68"/>
        <n v="77"/>
        <n v="90"/>
        <n v="73"/>
        <n v="63"/>
        <n v="81"/>
        <n v="75"/>
        <n v="72"/>
        <n v="78"/>
        <n v="69"/>
      </sharedItems>
    </cacheField>
    <cacheField name="血糖" numFmtId="0">
      <sharedItems containsString="0" containsBlank="1" containsNumber="1" minValue="4.0199999999999996" maxValue="7.75" count="70">
        <m/>
        <n v="4.37"/>
        <n v="7.71"/>
        <n v="6.46"/>
        <n v="4.5999999999999996"/>
        <n v="6.28"/>
        <n v="5.31"/>
        <n v="4.0599999999999996"/>
        <n v="7.56"/>
        <n v="6.2"/>
        <n v="4.91"/>
        <n v="4.0199999999999996"/>
        <n v="7.75"/>
        <n v="6.66"/>
        <n v="4.21"/>
        <n v="6.33"/>
        <n v="5.37"/>
        <n v="4.3"/>
        <n v="6.94"/>
        <n v="5.86"/>
        <n v="4.49"/>
        <n v="4.6100000000000003"/>
        <n v="6.25"/>
        <n v="5.58"/>
        <n v="6.82"/>
        <n v="6.57"/>
        <n v="4.2"/>
        <n v="6.93"/>
        <n v="6.18"/>
        <n v="4.25"/>
        <n v="6.31"/>
        <n v="5.13"/>
        <n v="4.95"/>
        <n v="7.74"/>
        <n v="6.62"/>
        <n v="6.37"/>
        <n v="4.6399999999999997"/>
        <n v="4.12"/>
        <n v="6.89"/>
        <n v="5.07"/>
        <n v="6.47"/>
        <n v="4.3099999999999996"/>
        <n v="6.09"/>
        <n v="4.38"/>
        <n v="4.97"/>
        <n v="7.4"/>
        <n v="6.88"/>
        <n v="4.8899999999999997"/>
        <n v="7.08"/>
        <n v="6.84"/>
        <n v="4.09"/>
        <n v="6.35"/>
        <n v="5.09"/>
        <n v="4.53"/>
        <n v="4.3899999999999997"/>
        <n v="6.49"/>
        <n v="4.3600000000000003"/>
        <n v="6.51"/>
        <n v="4.1399999999999997"/>
        <n v="7.44"/>
        <n v="5.15"/>
        <n v="5.19"/>
        <n v="4.7699999999999996"/>
        <n v="6.36"/>
        <n v="5.01"/>
        <n v="4.82"/>
        <n v="7.27"/>
        <n v="6.13"/>
        <n v="5.72"/>
        <n v="4.32"/>
      </sharedItems>
    </cacheField>
    <cacheField name="体脂分析" numFmtId="0">
      <sharedItems containsString="0" containsBlank="1" containsNumber="1" minValue="0.17" maxValue="0.17" count="2">
        <m/>
        <n v="0.17"/>
      </sharedItems>
    </cacheField>
    <cacheField name="响应时间" numFmtId="0">
      <sharedItems containsString="0" containsBlank="1" containsNumber="1" minValue="0.2" maxValue="0.99" count="71">
        <n v="0.8"/>
        <n v="0.5"/>
        <n v="0.89"/>
        <n v="0.69"/>
        <n v="0.56999999999999995"/>
        <n v="0.74"/>
        <n v="0.7"/>
        <n v="0.78"/>
        <n v="0.47"/>
        <n v="0.99"/>
        <n v="0.51"/>
        <n v="0.41"/>
        <n v="0.95"/>
        <n v="0.97"/>
        <n v="0.54"/>
        <n v="0.39"/>
        <n v="0.66"/>
        <n v="0.87"/>
        <n v="0.28000000000000003"/>
        <n v="0.37"/>
        <n v="0.65"/>
        <n v="0.23"/>
        <n v="0.86"/>
        <n v="0.56000000000000005"/>
        <n v="0.27"/>
        <n v="0.33"/>
        <n v="0.64"/>
        <n v="0.85"/>
        <n v="0.94"/>
        <n v="0.32"/>
        <n v="0.67"/>
        <n v="0.88"/>
        <n v="0.59"/>
        <n v="0.68"/>
        <n v="0.6"/>
        <n v="0.76"/>
        <n v="0.46"/>
        <n v="0.61"/>
        <n v="0.52"/>
        <n v="0.53"/>
        <n v="0.79"/>
        <n v="0.44"/>
        <n v="0.45"/>
        <n v="0.62"/>
        <n v="0.4"/>
        <n v="0.42"/>
        <n v="0.48"/>
        <n v="0.98"/>
        <n v="0.63"/>
        <n v="0.49"/>
        <n v="0.71"/>
        <n v="0.22"/>
        <n v="0.77"/>
        <n v="0.73"/>
        <n v="0.92"/>
        <n v="0.82"/>
        <n v="0.21"/>
        <n v="0.2"/>
        <n v="0.38"/>
        <n v="0.93"/>
        <n v="0.36"/>
        <n v="0.57999999999999996"/>
        <n v="0.3"/>
        <n v="0.35"/>
        <n v="0.26"/>
        <n v="0.91"/>
        <n v="0.24"/>
        <n v="0.84"/>
        <n v="0.28999999999999998"/>
        <n v="0.3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栾雨晨" refreshedDate="45859.953667013891" createdVersion="7" refreshedVersion="7" minRefreshableVersion="3" recordCount="376" xr:uid="{49BFC3D7-9F5B-492C-BA0E-370049AA8687}">
  <cacheSource type="worksheet">
    <worksheetSource ref="B1:G1048576" sheet="Sheet1"/>
  </cacheSource>
  <cacheFields count="6">
    <cacheField name="收缩压" numFmtId="0">
      <sharedItems containsString="0" containsBlank="1" containsNumber="1" containsInteger="1" minValue="90" maxValue="150"/>
    </cacheField>
    <cacheField name="舒张压" numFmtId="0">
      <sharedItems containsString="0" containsBlank="1" containsNumber="1" containsInteger="1" minValue="60" maxValue="90"/>
    </cacheField>
    <cacheField name="血糖" numFmtId="0">
      <sharedItems containsString="0" containsBlank="1" containsNumber="1" minValue="4.0199999999999996" maxValue="7.75"/>
    </cacheField>
    <cacheField name="体脂分析" numFmtId="0">
      <sharedItems containsString="0" containsBlank="1" containsNumber="1" minValue="0.17" maxValue="0.17"/>
    </cacheField>
    <cacheField name="响应时间" numFmtId="0">
      <sharedItems containsString="0" containsBlank="1" containsNumber="1" minValue="0.2" maxValue="0.99"/>
    </cacheField>
    <cacheField name="hour" numFmtId="0">
      <sharedItems containsBlank="1" count="16">
        <s v="07:00"/>
        <s v="18:00"/>
        <s v="12:00"/>
        <s v="22:00"/>
        <s v="09:00"/>
        <s v="20:00"/>
        <s v="14:00"/>
        <s v="19:00"/>
        <s v="08:00"/>
        <s v="13:00"/>
        <s v="16:00"/>
        <s v="06:00"/>
        <s v="00:00"/>
        <s v="10:00"/>
        <s v="07: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x v="0"/>
    <x v="0"/>
    <x v="0"/>
    <x v="0"/>
  </r>
  <r>
    <x v="1"/>
    <x v="1"/>
    <x v="1"/>
    <x v="0"/>
    <x v="0"/>
    <x v="1"/>
  </r>
  <r>
    <x v="2"/>
    <x v="2"/>
    <x v="2"/>
    <x v="1"/>
    <x v="0"/>
    <x v="2"/>
  </r>
  <r>
    <x v="2"/>
    <x v="2"/>
    <x v="2"/>
    <x v="0"/>
    <x v="1"/>
    <x v="3"/>
  </r>
  <r>
    <x v="3"/>
    <x v="1"/>
    <x v="3"/>
    <x v="0"/>
    <x v="0"/>
    <x v="4"/>
  </r>
  <r>
    <x v="4"/>
    <x v="2"/>
    <x v="2"/>
    <x v="2"/>
    <x v="0"/>
    <x v="5"/>
  </r>
  <r>
    <x v="5"/>
    <x v="2"/>
    <x v="2"/>
    <x v="3"/>
    <x v="0"/>
    <x v="6"/>
  </r>
  <r>
    <x v="6"/>
    <x v="3"/>
    <x v="4"/>
    <x v="0"/>
    <x v="0"/>
    <x v="7"/>
  </r>
  <r>
    <x v="7"/>
    <x v="2"/>
    <x v="2"/>
    <x v="4"/>
    <x v="0"/>
    <x v="8"/>
  </r>
  <r>
    <x v="7"/>
    <x v="4"/>
    <x v="5"/>
    <x v="0"/>
    <x v="0"/>
    <x v="9"/>
  </r>
  <r>
    <x v="8"/>
    <x v="2"/>
    <x v="2"/>
    <x v="5"/>
    <x v="0"/>
    <x v="10"/>
  </r>
  <r>
    <x v="8"/>
    <x v="5"/>
    <x v="6"/>
    <x v="0"/>
    <x v="0"/>
    <x v="9"/>
  </r>
  <r>
    <x v="9"/>
    <x v="2"/>
    <x v="2"/>
    <x v="6"/>
    <x v="0"/>
    <x v="11"/>
  </r>
  <r>
    <x v="10"/>
    <x v="6"/>
    <x v="7"/>
    <x v="0"/>
    <x v="0"/>
    <x v="12"/>
  </r>
  <r>
    <x v="11"/>
    <x v="2"/>
    <x v="2"/>
    <x v="7"/>
    <x v="0"/>
    <x v="13"/>
  </r>
  <r>
    <x v="11"/>
    <x v="7"/>
    <x v="0"/>
    <x v="0"/>
    <x v="0"/>
    <x v="10"/>
  </r>
  <r>
    <x v="12"/>
    <x v="2"/>
    <x v="2"/>
    <x v="8"/>
    <x v="0"/>
    <x v="14"/>
  </r>
  <r>
    <x v="12"/>
    <x v="8"/>
    <x v="4"/>
    <x v="0"/>
    <x v="0"/>
    <x v="15"/>
  </r>
  <r>
    <x v="13"/>
    <x v="2"/>
    <x v="2"/>
    <x v="9"/>
    <x v="0"/>
    <x v="16"/>
  </r>
  <r>
    <x v="14"/>
    <x v="2"/>
    <x v="2"/>
    <x v="10"/>
    <x v="0"/>
    <x v="16"/>
  </r>
  <r>
    <x v="14"/>
    <x v="7"/>
    <x v="8"/>
    <x v="0"/>
    <x v="0"/>
    <x v="17"/>
  </r>
  <r>
    <x v="15"/>
    <x v="9"/>
    <x v="3"/>
    <x v="0"/>
    <x v="0"/>
    <x v="18"/>
  </r>
  <r>
    <x v="16"/>
    <x v="10"/>
    <x v="9"/>
    <x v="0"/>
    <x v="0"/>
    <x v="19"/>
  </r>
  <r>
    <x v="17"/>
    <x v="2"/>
    <x v="2"/>
    <x v="11"/>
    <x v="0"/>
    <x v="0"/>
  </r>
  <r>
    <x v="17"/>
    <x v="2"/>
    <x v="2"/>
    <x v="0"/>
    <x v="1"/>
    <x v="20"/>
  </r>
  <r>
    <x v="18"/>
    <x v="11"/>
    <x v="10"/>
    <x v="0"/>
    <x v="0"/>
    <x v="21"/>
  </r>
  <r>
    <x v="19"/>
    <x v="2"/>
    <x v="2"/>
    <x v="12"/>
    <x v="0"/>
    <x v="22"/>
  </r>
  <r>
    <x v="20"/>
    <x v="2"/>
    <x v="2"/>
    <x v="13"/>
    <x v="0"/>
    <x v="10"/>
  </r>
  <r>
    <x v="21"/>
    <x v="12"/>
    <x v="11"/>
    <x v="0"/>
    <x v="0"/>
    <x v="23"/>
  </r>
  <r>
    <x v="22"/>
    <x v="2"/>
    <x v="2"/>
    <x v="14"/>
    <x v="0"/>
    <x v="24"/>
  </r>
  <r>
    <x v="22"/>
    <x v="4"/>
    <x v="12"/>
    <x v="0"/>
    <x v="0"/>
    <x v="7"/>
  </r>
  <r>
    <x v="23"/>
    <x v="2"/>
    <x v="2"/>
    <x v="15"/>
    <x v="0"/>
    <x v="24"/>
  </r>
  <r>
    <x v="23"/>
    <x v="13"/>
    <x v="13"/>
    <x v="0"/>
    <x v="0"/>
    <x v="0"/>
  </r>
  <r>
    <x v="24"/>
    <x v="2"/>
    <x v="2"/>
    <x v="16"/>
    <x v="0"/>
    <x v="19"/>
  </r>
  <r>
    <x v="25"/>
    <x v="0"/>
    <x v="14"/>
    <x v="0"/>
    <x v="0"/>
    <x v="25"/>
  </r>
  <r>
    <x v="26"/>
    <x v="2"/>
    <x v="2"/>
    <x v="17"/>
    <x v="0"/>
    <x v="26"/>
  </r>
  <r>
    <x v="26"/>
    <x v="14"/>
    <x v="15"/>
    <x v="0"/>
    <x v="0"/>
    <x v="27"/>
  </r>
  <r>
    <x v="27"/>
    <x v="2"/>
    <x v="2"/>
    <x v="18"/>
    <x v="0"/>
    <x v="18"/>
  </r>
  <r>
    <x v="27"/>
    <x v="15"/>
    <x v="16"/>
    <x v="0"/>
    <x v="0"/>
    <x v="28"/>
  </r>
  <r>
    <x v="28"/>
    <x v="2"/>
    <x v="2"/>
    <x v="19"/>
    <x v="0"/>
    <x v="29"/>
  </r>
  <r>
    <x v="29"/>
    <x v="2"/>
    <x v="2"/>
    <x v="20"/>
    <x v="0"/>
    <x v="30"/>
  </r>
  <r>
    <x v="29"/>
    <x v="16"/>
    <x v="17"/>
    <x v="0"/>
    <x v="0"/>
    <x v="31"/>
  </r>
  <r>
    <x v="30"/>
    <x v="10"/>
    <x v="1"/>
    <x v="0"/>
    <x v="0"/>
    <x v="11"/>
  </r>
  <r>
    <x v="31"/>
    <x v="17"/>
    <x v="10"/>
    <x v="0"/>
    <x v="0"/>
    <x v="20"/>
  </r>
  <r>
    <x v="32"/>
    <x v="2"/>
    <x v="2"/>
    <x v="21"/>
    <x v="0"/>
    <x v="32"/>
  </r>
  <r>
    <x v="32"/>
    <x v="2"/>
    <x v="2"/>
    <x v="0"/>
    <x v="1"/>
    <x v="33"/>
  </r>
  <r>
    <x v="33"/>
    <x v="18"/>
    <x v="18"/>
    <x v="0"/>
    <x v="0"/>
    <x v="34"/>
  </r>
  <r>
    <x v="34"/>
    <x v="2"/>
    <x v="2"/>
    <x v="22"/>
    <x v="0"/>
    <x v="35"/>
  </r>
  <r>
    <x v="35"/>
    <x v="2"/>
    <x v="2"/>
    <x v="23"/>
    <x v="0"/>
    <x v="36"/>
  </r>
  <r>
    <x v="36"/>
    <x v="19"/>
    <x v="19"/>
    <x v="0"/>
    <x v="0"/>
    <x v="37"/>
  </r>
  <r>
    <x v="37"/>
    <x v="2"/>
    <x v="2"/>
    <x v="1"/>
    <x v="0"/>
    <x v="38"/>
  </r>
  <r>
    <x v="37"/>
    <x v="20"/>
    <x v="5"/>
    <x v="0"/>
    <x v="0"/>
    <x v="39"/>
  </r>
  <r>
    <x v="38"/>
    <x v="2"/>
    <x v="2"/>
    <x v="24"/>
    <x v="0"/>
    <x v="40"/>
  </r>
  <r>
    <x v="38"/>
    <x v="4"/>
    <x v="20"/>
    <x v="0"/>
    <x v="0"/>
    <x v="41"/>
  </r>
  <r>
    <x v="39"/>
    <x v="2"/>
    <x v="2"/>
    <x v="25"/>
    <x v="0"/>
    <x v="0"/>
  </r>
  <r>
    <x v="40"/>
    <x v="1"/>
    <x v="21"/>
    <x v="0"/>
    <x v="0"/>
    <x v="42"/>
  </r>
  <r>
    <x v="41"/>
    <x v="2"/>
    <x v="2"/>
    <x v="26"/>
    <x v="0"/>
    <x v="43"/>
  </r>
  <r>
    <x v="41"/>
    <x v="21"/>
    <x v="15"/>
    <x v="0"/>
    <x v="0"/>
    <x v="37"/>
  </r>
  <r>
    <x v="42"/>
    <x v="2"/>
    <x v="2"/>
    <x v="27"/>
    <x v="0"/>
    <x v="28"/>
  </r>
  <r>
    <x v="42"/>
    <x v="22"/>
    <x v="21"/>
    <x v="0"/>
    <x v="0"/>
    <x v="20"/>
  </r>
  <r>
    <x v="43"/>
    <x v="2"/>
    <x v="2"/>
    <x v="28"/>
    <x v="0"/>
    <x v="35"/>
  </r>
  <r>
    <x v="44"/>
    <x v="2"/>
    <x v="2"/>
    <x v="29"/>
    <x v="0"/>
    <x v="10"/>
  </r>
  <r>
    <x v="44"/>
    <x v="23"/>
    <x v="13"/>
    <x v="0"/>
    <x v="0"/>
    <x v="44"/>
  </r>
  <r>
    <x v="45"/>
    <x v="24"/>
    <x v="22"/>
    <x v="0"/>
    <x v="0"/>
    <x v="43"/>
  </r>
  <r>
    <x v="46"/>
    <x v="25"/>
    <x v="3"/>
    <x v="0"/>
    <x v="0"/>
    <x v="39"/>
  </r>
  <r>
    <x v="47"/>
    <x v="2"/>
    <x v="2"/>
    <x v="21"/>
    <x v="0"/>
    <x v="45"/>
  </r>
  <r>
    <x v="47"/>
    <x v="2"/>
    <x v="2"/>
    <x v="0"/>
    <x v="1"/>
    <x v="26"/>
  </r>
  <r>
    <x v="48"/>
    <x v="26"/>
    <x v="18"/>
    <x v="0"/>
    <x v="0"/>
    <x v="43"/>
  </r>
  <r>
    <x v="49"/>
    <x v="2"/>
    <x v="2"/>
    <x v="30"/>
    <x v="0"/>
    <x v="46"/>
  </r>
  <r>
    <x v="50"/>
    <x v="2"/>
    <x v="2"/>
    <x v="31"/>
    <x v="0"/>
    <x v="47"/>
  </r>
  <r>
    <x v="51"/>
    <x v="27"/>
    <x v="3"/>
    <x v="0"/>
    <x v="0"/>
    <x v="26"/>
  </r>
  <r>
    <x v="52"/>
    <x v="2"/>
    <x v="2"/>
    <x v="32"/>
    <x v="0"/>
    <x v="48"/>
  </r>
  <r>
    <x v="52"/>
    <x v="28"/>
    <x v="23"/>
    <x v="0"/>
    <x v="0"/>
    <x v="49"/>
  </r>
  <r>
    <x v="53"/>
    <x v="2"/>
    <x v="2"/>
    <x v="33"/>
    <x v="0"/>
    <x v="3"/>
  </r>
  <r>
    <x v="53"/>
    <x v="26"/>
    <x v="24"/>
    <x v="0"/>
    <x v="0"/>
    <x v="50"/>
  </r>
  <r>
    <x v="54"/>
    <x v="2"/>
    <x v="2"/>
    <x v="34"/>
    <x v="0"/>
    <x v="12"/>
  </r>
  <r>
    <x v="55"/>
    <x v="29"/>
    <x v="4"/>
    <x v="0"/>
    <x v="0"/>
    <x v="2"/>
  </r>
  <r>
    <x v="56"/>
    <x v="2"/>
    <x v="2"/>
    <x v="17"/>
    <x v="0"/>
    <x v="51"/>
  </r>
  <r>
    <x v="56"/>
    <x v="21"/>
    <x v="11"/>
    <x v="0"/>
    <x v="0"/>
    <x v="52"/>
  </r>
  <r>
    <x v="57"/>
    <x v="2"/>
    <x v="2"/>
    <x v="28"/>
    <x v="0"/>
    <x v="0"/>
  </r>
  <r>
    <x v="57"/>
    <x v="30"/>
    <x v="25"/>
    <x v="0"/>
    <x v="0"/>
    <x v="12"/>
  </r>
  <r>
    <x v="58"/>
    <x v="2"/>
    <x v="2"/>
    <x v="35"/>
    <x v="0"/>
    <x v="21"/>
  </r>
  <r>
    <x v="59"/>
    <x v="2"/>
    <x v="2"/>
    <x v="36"/>
    <x v="0"/>
    <x v="48"/>
  </r>
  <r>
    <x v="59"/>
    <x v="16"/>
    <x v="24"/>
    <x v="0"/>
    <x v="0"/>
    <x v="53"/>
  </r>
  <r>
    <x v="60"/>
    <x v="31"/>
    <x v="3"/>
    <x v="0"/>
    <x v="0"/>
    <x v="48"/>
  </r>
  <r>
    <x v="61"/>
    <x v="31"/>
    <x v="13"/>
    <x v="0"/>
    <x v="0"/>
    <x v="54"/>
  </r>
  <r>
    <x v="62"/>
    <x v="2"/>
    <x v="2"/>
    <x v="37"/>
    <x v="0"/>
    <x v="7"/>
  </r>
  <r>
    <x v="62"/>
    <x v="2"/>
    <x v="2"/>
    <x v="0"/>
    <x v="1"/>
    <x v="16"/>
  </r>
  <r>
    <x v="63"/>
    <x v="11"/>
    <x v="11"/>
    <x v="0"/>
    <x v="0"/>
    <x v="55"/>
  </r>
  <r>
    <x v="64"/>
    <x v="2"/>
    <x v="2"/>
    <x v="38"/>
    <x v="0"/>
    <x v="15"/>
  </r>
  <r>
    <x v="65"/>
    <x v="2"/>
    <x v="2"/>
    <x v="39"/>
    <x v="0"/>
    <x v="3"/>
  </r>
  <r>
    <x v="66"/>
    <x v="32"/>
    <x v="10"/>
    <x v="0"/>
    <x v="0"/>
    <x v="24"/>
  </r>
  <r>
    <x v="67"/>
    <x v="2"/>
    <x v="2"/>
    <x v="10"/>
    <x v="0"/>
    <x v="5"/>
  </r>
  <r>
    <x v="67"/>
    <x v="8"/>
    <x v="23"/>
    <x v="0"/>
    <x v="0"/>
    <x v="54"/>
  </r>
  <r>
    <x v="68"/>
    <x v="2"/>
    <x v="2"/>
    <x v="40"/>
    <x v="0"/>
    <x v="55"/>
  </r>
  <r>
    <x v="68"/>
    <x v="33"/>
    <x v="26"/>
    <x v="0"/>
    <x v="0"/>
    <x v="56"/>
  </r>
  <r>
    <x v="69"/>
    <x v="2"/>
    <x v="2"/>
    <x v="15"/>
    <x v="0"/>
    <x v="24"/>
  </r>
  <r>
    <x v="70"/>
    <x v="34"/>
    <x v="4"/>
    <x v="0"/>
    <x v="0"/>
    <x v="57"/>
  </r>
  <r>
    <x v="71"/>
    <x v="2"/>
    <x v="2"/>
    <x v="41"/>
    <x v="0"/>
    <x v="35"/>
  </r>
  <r>
    <x v="71"/>
    <x v="22"/>
    <x v="6"/>
    <x v="0"/>
    <x v="0"/>
    <x v="26"/>
  </r>
  <r>
    <x v="72"/>
    <x v="2"/>
    <x v="2"/>
    <x v="18"/>
    <x v="0"/>
    <x v="50"/>
  </r>
  <r>
    <x v="72"/>
    <x v="35"/>
    <x v="0"/>
    <x v="0"/>
    <x v="0"/>
    <x v="58"/>
  </r>
  <r>
    <x v="73"/>
    <x v="2"/>
    <x v="2"/>
    <x v="42"/>
    <x v="0"/>
    <x v="59"/>
  </r>
  <r>
    <x v="74"/>
    <x v="2"/>
    <x v="2"/>
    <x v="43"/>
    <x v="0"/>
    <x v="35"/>
  </r>
  <r>
    <x v="74"/>
    <x v="9"/>
    <x v="27"/>
    <x v="0"/>
    <x v="0"/>
    <x v="49"/>
  </r>
  <r>
    <x v="75"/>
    <x v="6"/>
    <x v="28"/>
    <x v="0"/>
    <x v="0"/>
    <x v="31"/>
  </r>
  <r>
    <x v="76"/>
    <x v="7"/>
    <x v="13"/>
    <x v="0"/>
    <x v="0"/>
    <x v="54"/>
  </r>
  <r>
    <x v="77"/>
    <x v="2"/>
    <x v="2"/>
    <x v="44"/>
    <x v="0"/>
    <x v="4"/>
  </r>
  <r>
    <x v="77"/>
    <x v="2"/>
    <x v="2"/>
    <x v="0"/>
    <x v="1"/>
    <x v="48"/>
  </r>
  <r>
    <x v="78"/>
    <x v="28"/>
    <x v="17"/>
    <x v="0"/>
    <x v="0"/>
    <x v="60"/>
  </r>
  <r>
    <x v="79"/>
    <x v="2"/>
    <x v="2"/>
    <x v="45"/>
    <x v="0"/>
    <x v="32"/>
  </r>
  <r>
    <x v="80"/>
    <x v="2"/>
    <x v="2"/>
    <x v="46"/>
    <x v="0"/>
    <x v="35"/>
  </r>
  <r>
    <x v="81"/>
    <x v="36"/>
    <x v="20"/>
    <x v="0"/>
    <x v="0"/>
    <x v="21"/>
  </r>
  <r>
    <x v="82"/>
    <x v="2"/>
    <x v="2"/>
    <x v="47"/>
    <x v="0"/>
    <x v="35"/>
  </r>
  <r>
    <x v="82"/>
    <x v="24"/>
    <x v="3"/>
    <x v="0"/>
    <x v="0"/>
    <x v="61"/>
  </r>
  <r>
    <x v="83"/>
    <x v="2"/>
    <x v="2"/>
    <x v="48"/>
    <x v="0"/>
    <x v="46"/>
  </r>
  <r>
    <x v="83"/>
    <x v="36"/>
    <x v="12"/>
    <x v="0"/>
    <x v="0"/>
    <x v="0"/>
  </r>
  <r>
    <x v="84"/>
    <x v="2"/>
    <x v="2"/>
    <x v="49"/>
    <x v="0"/>
    <x v="48"/>
  </r>
  <r>
    <x v="85"/>
    <x v="37"/>
    <x v="5"/>
    <x v="0"/>
    <x v="0"/>
    <x v="47"/>
  </r>
  <r>
    <x v="86"/>
    <x v="2"/>
    <x v="2"/>
    <x v="50"/>
    <x v="0"/>
    <x v="62"/>
  </r>
  <r>
    <x v="86"/>
    <x v="23"/>
    <x v="9"/>
    <x v="0"/>
    <x v="0"/>
    <x v="63"/>
  </r>
  <r>
    <x v="87"/>
    <x v="2"/>
    <x v="2"/>
    <x v="51"/>
    <x v="0"/>
    <x v="24"/>
  </r>
  <r>
    <x v="87"/>
    <x v="38"/>
    <x v="18"/>
    <x v="0"/>
    <x v="0"/>
    <x v="28"/>
  </r>
  <r>
    <x v="88"/>
    <x v="2"/>
    <x v="2"/>
    <x v="52"/>
    <x v="0"/>
    <x v="0"/>
  </r>
  <r>
    <x v="89"/>
    <x v="2"/>
    <x v="2"/>
    <x v="53"/>
    <x v="0"/>
    <x v="15"/>
  </r>
  <r>
    <x v="89"/>
    <x v="27"/>
    <x v="9"/>
    <x v="0"/>
    <x v="0"/>
    <x v="19"/>
  </r>
  <r>
    <x v="90"/>
    <x v="39"/>
    <x v="6"/>
    <x v="0"/>
    <x v="0"/>
    <x v="48"/>
  </r>
  <r>
    <x v="91"/>
    <x v="26"/>
    <x v="4"/>
    <x v="0"/>
    <x v="0"/>
    <x v="3"/>
  </r>
  <r>
    <x v="92"/>
    <x v="2"/>
    <x v="2"/>
    <x v="54"/>
    <x v="0"/>
    <x v="7"/>
  </r>
  <r>
    <x v="92"/>
    <x v="2"/>
    <x v="2"/>
    <x v="0"/>
    <x v="1"/>
    <x v="33"/>
  </r>
  <r>
    <x v="93"/>
    <x v="36"/>
    <x v="8"/>
    <x v="0"/>
    <x v="0"/>
    <x v="57"/>
  </r>
  <r>
    <x v="94"/>
    <x v="2"/>
    <x v="2"/>
    <x v="55"/>
    <x v="0"/>
    <x v="29"/>
  </r>
  <r>
    <x v="95"/>
    <x v="2"/>
    <x v="2"/>
    <x v="13"/>
    <x v="0"/>
    <x v="48"/>
  </r>
  <r>
    <x v="96"/>
    <x v="40"/>
    <x v="16"/>
    <x v="0"/>
    <x v="0"/>
    <x v="64"/>
  </r>
  <r>
    <x v="97"/>
    <x v="2"/>
    <x v="2"/>
    <x v="56"/>
    <x v="0"/>
    <x v="20"/>
  </r>
  <r>
    <x v="97"/>
    <x v="41"/>
    <x v="29"/>
    <x v="0"/>
    <x v="0"/>
    <x v="65"/>
  </r>
  <r>
    <x v="98"/>
    <x v="2"/>
    <x v="2"/>
    <x v="57"/>
    <x v="0"/>
    <x v="61"/>
  </r>
  <r>
    <x v="98"/>
    <x v="1"/>
    <x v="13"/>
    <x v="0"/>
    <x v="0"/>
    <x v="9"/>
  </r>
  <r>
    <x v="99"/>
    <x v="2"/>
    <x v="2"/>
    <x v="42"/>
    <x v="0"/>
    <x v="61"/>
  </r>
  <r>
    <x v="100"/>
    <x v="42"/>
    <x v="17"/>
    <x v="0"/>
    <x v="0"/>
    <x v="2"/>
  </r>
  <r>
    <x v="101"/>
    <x v="2"/>
    <x v="2"/>
    <x v="58"/>
    <x v="0"/>
    <x v="20"/>
  </r>
  <r>
    <x v="101"/>
    <x v="43"/>
    <x v="20"/>
    <x v="0"/>
    <x v="0"/>
    <x v="55"/>
  </r>
  <r>
    <x v="102"/>
    <x v="2"/>
    <x v="2"/>
    <x v="59"/>
    <x v="0"/>
    <x v="8"/>
  </r>
  <r>
    <x v="102"/>
    <x v="27"/>
    <x v="18"/>
    <x v="0"/>
    <x v="0"/>
    <x v="6"/>
  </r>
  <r>
    <x v="103"/>
    <x v="2"/>
    <x v="2"/>
    <x v="60"/>
    <x v="0"/>
    <x v="44"/>
  </r>
  <r>
    <x v="104"/>
    <x v="2"/>
    <x v="2"/>
    <x v="61"/>
    <x v="0"/>
    <x v="49"/>
  </r>
  <r>
    <x v="104"/>
    <x v="44"/>
    <x v="12"/>
    <x v="0"/>
    <x v="0"/>
    <x v="66"/>
  </r>
  <r>
    <x v="105"/>
    <x v="45"/>
    <x v="6"/>
    <x v="0"/>
    <x v="0"/>
    <x v="3"/>
  </r>
  <r>
    <x v="106"/>
    <x v="46"/>
    <x v="10"/>
    <x v="0"/>
    <x v="0"/>
    <x v="36"/>
  </r>
  <r>
    <x v="107"/>
    <x v="2"/>
    <x v="2"/>
    <x v="62"/>
    <x v="0"/>
    <x v="31"/>
  </r>
  <r>
    <x v="107"/>
    <x v="2"/>
    <x v="2"/>
    <x v="0"/>
    <x v="1"/>
    <x v="16"/>
  </r>
  <r>
    <x v="108"/>
    <x v="44"/>
    <x v="19"/>
    <x v="0"/>
    <x v="0"/>
    <x v="44"/>
  </r>
  <r>
    <x v="109"/>
    <x v="2"/>
    <x v="2"/>
    <x v="63"/>
    <x v="0"/>
    <x v="67"/>
  </r>
  <r>
    <x v="110"/>
    <x v="2"/>
    <x v="2"/>
    <x v="64"/>
    <x v="0"/>
    <x v="66"/>
  </r>
  <r>
    <x v="111"/>
    <x v="28"/>
    <x v="18"/>
    <x v="0"/>
    <x v="0"/>
    <x v="14"/>
  </r>
  <r>
    <x v="112"/>
    <x v="2"/>
    <x v="2"/>
    <x v="65"/>
    <x v="0"/>
    <x v="38"/>
  </r>
  <r>
    <x v="112"/>
    <x v="35"/>
    <x v="25"/>
    <x v="0"/>
    <x v="0"/>
    <x v="59"/>
  </r>
  <r>
    <x v="113"/>
    <x v="2"/>
    <x v="2"/>
    <x v="66"/>
    <x v="0"/>
    <x v="27"/>
  </r>
  <r>
    <x v="113"/>
    <x v="47"/>
    <x v="8"/>
    <x v="0"/>
    <x v="0"/>
    <x v="50"/>
  </r>
  <r>
    <x v="114"/>
    <x v="2"/>
    <x v="2"/>
    <x v="3"/>
    <x v="0"/>
    <x v="20"/>
  </r>
  <r>
    <x v="115"/>
    <x v="38"/>
    <x v="8"/>
    <x v="0"/>
    <x v="0"/>
    <x v="68"/>
  </r>
  <r>
    <x v="116"/>
    <x v="2"/>
    <x v="2"/>
    <x v="62"/>
    <x v="0"/>
    <x v="45"/>
  </r>
  <r>
    <x v="116"/>
    <x v="48"/>
    <x v="3"/>
    <x v="0"/>
    <x v="0"/>
    <x v="69"/>
  </r>
  <r>
    <x v="117"/>
    <x v="2"/>
    <x v="2"/>
    <x v="67"/>
    <x v="0"/>
    <x v="14"/>
  </r>
  <r>
    <x v="117"/>
    <x v="22"/>
    <x v="8"/>
    <x v="0"/>
    <x v="0"/>
    <x v="3"/>
  </r>
  <r>
    <x v="118"/>
    <x v="2"/>
    <x v="2"/>
    <x v="68"/>
    <x v="0"/>
    <x v="24"/>
  </r>
  <r>
    <x v="119"/>
    <x v="2"/>
    <x v="2"/>
    <x v="69"/>
    <x v="0"/>
    <x v="36"/>
  </r>
  <r>
    <x v="119"/>
    <x v="38"/>
    <x v="19"/>
    <x v="0"/>
    <x v="0"/>
    <x v="34"/>
  </r>
  <r>
    <x v="120"/>
    <x v="2"/>
    <x v="2"/>
    <x v="0"/>
    <x v="0"/>
    <x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">
  <r>
    <m/>
    <m/>
    <n v="4.0199999999999996"/>
    <m/>
    <n v="0.8"/>
    <x v="0"/>
  </r>
  <r>
    <m/>
    <m/>
    <n v="4.0599999999999996"/>
    <m/>
    <n v="0.97"/>
    <x v="1"/>
  </r>
  <r>
    <m/>
    <m/>
    <n v="4.09"/>
    <m/>
    <n v="0.3"/>
    <x v="1"/>
  </r>
  <r>
    <m/>
    <m/>
    <n v="4.12"/>
    <m/>
    <n v="0.78"/>
    <x v="0"/>
  </r>
  <r>
    <m/>
    <m/>
    <n v="4.1399999999999997"/>
    <m/>
    <n v="0.65"/>
    <x v="1"/>
  </r>
  <r>
    <m/>
    <m/>
    <n v="4.2"/>
    <m/>
    <n v="0.62"/>
    <x v="1"/>
  </r>
  <r>
    <m/>
    <m/>
    <n v="4.21"/>
    <m/>
    <n v="0.27"/>
    <x v="2"/>
  </r>
  <r>
    <m/>
    <m/>
    <n v="4.25"/>
    <m/>
    <n v="0.51"/>
    <x v="3"/>
  </r>
  <r>
    <m/>
    <m/>
    <n v="4.3"/>
    <m/>
    <n v="0.64"/>
    <x v="1"/>
  </r>
  <r>
    <m/>
    <m/>
    <n v="4.3"/>
    <m/>
    <n v="0.22"/>
    <x v="1"/>
  </r>
  <r>
    <m/>
    <m/>
    <n v="4.3099999999999996"/>
    <m/>
    <n v="0.76"/>
    <x v="1"/>
  </r>
  <r>
    <m/>
    <m/>
    <n v="4.32"/>
    <m/>
    <n v="0.46"/>
    <x v="3"/>
  </r>
  <r>
    <m/>
    <m/>
    <n v="4.3600000000000003"/>
    <m/>
    <n v="0.65"/>
    <x v="2"/>
  </r>
  <r>
    <m/>
    <m/>
    <n v="4.37"/>
    <m/>
    <n v="0.89"/>
    <x v="0"/>
  </r>
  <r>
    <m/>
    <m/>
    <n v="4.37"/>
    <m/>
    <n v="0.52"/>
    <x v="2"/>
  </r>
  <r>
    <m/>
    <m/>
    <n v="4.38"/>
    <m/>
    <n v="0.76"/>
    <x v="3"/>
  </r>
  <r>
    <m/>
    <m/>
    <n v="4.3899999999999997"/>
    <m/>
    <n v="0.78"/>
    <x v="0"/>
  </r>
  <r>
    <m/>
    <m/>
    <n v="4.49"/>
    <m/>
    <n v="0.67"/>
    <x v="3"/>
  </r>
  <r>
    <m/>
    <m/>
    <n v="4.53"/>
    <m/>
    <n v="0.39"/>
    <x v="3"/>
  </r>
  <r>
    <m/>
    <m/>
    <n v="4.5999999999999996"/>
    <m/>
    <n v="0.47"/>
    <x v="2"/>
  </r>
  <r>
    <m/>
    <m/>
    <n v="4.6100000000000003"/>
    <m/>
    <n v="0.59"/>
    <x v="0"/>
  </r>
  <r>
    <m/>
    <m/>
    <n v="4.6100000000000003"/>
    <m/>
    <n v="0.42"/>
    <x v="0"/>
  </r>
  <r>
    <m/>
    <m/>
    <n v="4.6399999999999997"/>
    <m/>
    <n v="0.63"/>
    <x v="3"/>
  </r>
  <r>
    <m/>
    <m/>
    <n v="4.7699999999999996"/>
    <m/>
    <n v="0.88"/>
    <x v="0"/>
  </r>
  <r>
    <m/>
    <m/>
    <n v="4.7699999999999996"/>
    <m/>
    <n v="0.42"/>
    <x v="1"/>
  </r>
  <r>
    <m/>
    <m/>
    <n v="4.82"/>
    <m/>
    <n v="0.52"/>
    <x v="2"/>
  </r>
  <r>
    <m/>
    <m/>
    <n v="4.8899999999999997"/>
    <m/>
    <n v="0.76"/>
    <x v="2"/>
  </r>
  <r>
    <m/>
    <m/>
    <n v="4.91"/>
    <m/>
    <n v="0.66"/>
    <x v="3"/>
  </r>
  <r>
    <m/>
    <m/>
    <n v="4.91"/>
    <m/>
    <n v="0.74"/>
    <x v="2"/>
  </r>
  <r>
    <m/>
    <m/>
    <n v="4.95"/>
    <m/>
    <n v="0.63"/>
    <x v="2"/>
  </r>
  <r>
    <m/>
    <m/>
    <n v="4.97"/>
    <m/>
    <n v="0.56999999999999995"/>
    <x v="0"/>
  </r>
  <r>
    <m/>
    <m/>
    <n v="5.01"/>
    <m/>
    <n v="0.24"/>
    <x v="4"/>
  </r>
  <r>
    <m/>
    <m/>
    <n v="5.07"/>
    <m/>
    <n v="0.69"/>
    <x v="4"/>
  </r>
  <r>
    <m/>
    <m/>
    <n v="5.09"/>
    <m/>
    <n v="0.8"/>
    <x v="5"/>
  </r>
  <r>
    <m/>
    <m/>
    <n v="5.13"/>
    <m/>
    <n v="0.98"/>
    <x v="4"/>
  </r>
  <r>
    <m/>
    <m/>
    <n v="5.15"/>
    <m/>
    <n v="0.4"/>
    <x v="5"/>
  </r>
  <r>
    <m/>
    <m/>
    <n v="5.19"/>
    <m/>
    <n v="0.49"/>
    <x v="3"/>
  </r>
  <r>
    <m/>
    <m/>
    <n v="5.31"/>
    <m/>
    <n v="0.41"/>
    <x v="6"/>
  </r>
  <r>
    <m/>
    <m/>
    <n v="5.37"/>
    <m/>
    <n v="0.37"/>
    <x v="6"/>
  </r>
  <r>
    <m/>
    <m/>
    <n v="5.58"/>
    <m/>
    <n v="0.46"/>
    <x v="4"/>
  </r>
  <r>
    <m/>
    <m/>
    <n v="5.72"/>
    <m/>
    <n v="0.27"/>
    <x v="5"/>
  </r>
  <r>
    <m/>
    <m/>
    <n v="5.86"/>
    <m/>
    <n v="0.32"/>
    <x v="5"/>
  </r>
  <r>
    <m/>
    <m/>
    <n v="6.09"/>
    <m/>
    <n v="0.93"/>
    <x v="5"/>
  </r>
  <r>
    <m/>
    <m/>
    <n v="6.09"/>
    <m/>
    <n v="0.57999999999999996"/>
    <x v="6"/>
  </r>
  <r>
    <m/>
    <m/>
    <n v="6.13"/>
    <m/>
    <n v="0.54"/>
    <x v="7"/>
  </r>
  <r>
    <m/>
    <m/>
    <n v="6.18"/>
    <m/>
    <n v="0.76"/>
    <x v="5"/>
  </r>
  <r>
    <m/>
    <m/>
    <n v="6.18"/>
    <m/>
    <n v="0.8"/>
    <x v="7"/>
  </r>
  <r>
    <m/>
    <m/>
    <n v="6.2"/>
    <m/>
    <n v="0.66"/>
    <x v="5"/>
  </r>
  <r>
    <m/>
    <m/>
    <n v="6.25"/>
    <m/>
    <n v="0.76"/>
    <x v="8"/>
  </r>
  <r>
    <m/>
    <m/>
    <n v="6.28"/>
    <m/>
    <n v="0.51"/>
    <x v="9"/>
  </r>
  <r>
    <m/>
    <m/>
    <n v="6.31"/>
    <m/>
    <n v="0.48"/>
    <x v="8"/>
  </r>
  <r>
    <m/>
    <m/>
    <n v="6.33"/>
    <m/>
    <n v="0.27"/>
    <x v="9"/>
  </r>
  <r>
    <m/>
    <m/>
    <n v="6.33"/>
    <m/>
    <n v="0.27"/>
    <x v="6"/>
  </r>
  <r>
    <m/>
    <m/>
    <n v="6.35"/>
    <m/>
    <n v="0.27"/>
    <x v="7"/>
  </r>
  <r>
    <m/>
    <m/>
    <n v="6.36"/>
    <m/>
    <n v="0.84"/>
    <x v="8"/>
  </r>
  <r>
    <m/>
    <m/>
    <n v="6.37"/>
    <m/>
    <n v="0.23"/>
    <x v="5"/>
  </r>
  <r>
    <m/>
    <m/>
    <n v="6.46"/>
    <m/>
    <n v="0.7"/>
    <x v="4"/>
  </r>
  <r>
    <m/>
    <m/>
    <n v="6.46"/>
    <m/>
    <n v="0.65"/>
    <x v="6"/>
  </r>
  <r>
    <m/>
    <m/>
    <n v="6.47"/>
    <m/>
    <n v="0.82"/>
    <x v="9"/>
  </r>
  <r>
    <m/>
    <m/>
    <n v="6.49"/>
    <m/>
    <n v="0.32"/>
    <x v="8"/>
  </r>
  <r>
    <m/>
    <m/>
    <n v="6.51"/>
    <m/>
    <n v="0.57999999999999996"/>
    <x v="9"/>
  </r>
  <r>
    <m/>
    <m/>
    <n v="6.57"/>
    <m/>
    <n v="0.8"/>
    <x v="6"/>
  </r>
  <r>
    <m/>
    <m/>
    <n v="6.62"/>
    <m/>
    <n v="0.95"/>
    <x v="6"/>
  </r>
  <r>
    <m/>
    <m/>
    <n v="6.66"/>
    <m/>
    <n v="0.51"/>
    <x v="4"/>
  </r>
  <r>
    <m/>
    <m/>
    <n v="6.66"/>
    <m/>
    <n v="0.63"/>
    <x v="4"/>
  </r>
  <r>
    <m/>
    <m/>
    <n v="6.82"/>
    <m/>
    <n v="0.79"/>
    <x v="9"/>
  </r>
  <r>
    <m/>
    <m/>
    <n v="6.84"/>
    <m/>
    <n v="0.63"/>
    <x v="6"/>
  </r>
  <r>
    <m/>
    <m/>
    <n v="6.88"/>
    <m/>
    <n v="0.76"/>
    <x v="4"/>
  </r>
  <r>
    <m/>
    <m/>
    <n v="6.89"/>
    <m/>
    <n v="0.39"/>
    <x v="8"/>
  </r>
  <r>
    <m/>
    <m/>
    <n v="6.93"/>
    <m/>
    <n v="0.94"/>
    <x v="7"/>
  </r>
  <r>
    <m/>
    <m/>
    <n v="6.94"/>
    <m/>
    <n v="0.28000000000000003"/>
    <x v="7"/>
  </r>
  <r>
    <m/>
    <m/>
    <n v="6.94"/>
    <m/>
    <n v="0.71"/>
    <x v="7"/>
  </r>
  <r>
    <m/>
    <m/>
    <n v="7.08"/>
    <m/>
    <n v="0.48"/>
    <x v="9"/>
  </r>
  <r>
    <m/>
    <m/>
    <n v="7.27"/>
    <m/>
    <n v="0.85"/>
    <x v="9"/>
  </r>
  <r>
    <m/>
    <m/>
    <n v="7.4"/>
    <m/>
    <n v="0.59"/>
    <x v="8"/>
  </r>
  <r>
    <m/>
    <m/>
    <n v="7.44"/>
    <m/>
    <n v="0.47"/>
    <x v="7"/>
  </r>
  <r>
    <m/>
    <m/>
    <n v="7.56"/>
    <m/>
    <n v="0.54"/>
    <x v="7"/>
  </r>
  <r>
    <m/>
    <m/>
    <n v="7.71"/>
    <m/>
    <n v="0.74"/>
    <x v="8"/>
  </r>
  <r>
    <m/>
    <m/>
    <n v="7.74"/>
    <m/>
    <n v="0.69"/>
    <x v="9"/>
  </r>
  <r>
    <m/>
    <m/>
    <n v="7.75"/>
    <m/>
    <n v="0.86"/>
    <x v="8"/>
  </r>
  <r>
    <m/>
    <m/>
    <m/>
    <n v="0.17"/>
    <n v="0.69"/>
    <x v="0"/>
  </r>
  <r>
    <m/>
    <m/>
    <m/>
    <n v="0.17"/>
    <n v="0.65"/>
    <x v="0"/>
  </r>
  <r>
    <m/>
    <m/>
    <m/>
    <n v="0.17"/>
    <n v="0.68"/>
    <x v="0"/>
  </r>
  <r>
    <m/>
    <m/>
    <m/>
    <n v="0.17"/>
    <n v="0.64"/>
    <x v="0"/>
  </r>
  <r>
    <m/>
    <m/>
    <m/>
    <n v="0.17"/>
    <n v="0.66"/>
    <x v="0"/>
  </r>
  <r>
    <m/>
    <m/>
    <m/>
    <n v="0.17"/>
    <n v="0.63"/>
    <x v="0"/>
  </r>
  <r>
    <m/>
    <m/>
    <m/>
    <n v="0.17"/>
    <n v="0.68"/>
    <x v="0"/>
  </r>
  <r>
    <m/>
    <m/>
    <m/>
    <n v="0.17"/>
    <n v="0.66"/>
    <x v="0"/>
  </r>
  <r>
    <n v="90"/>
    <n v="71"/>
    <m/>
    <m/>
    <n v="0.94"/>
    <x v="7"/>
  </r>
  <r>
    <n v="90"/>
    <n v="62"/>
    <m/>
    <m/>
    <n v="0.28999999999999998"/>
    <x v="10"/>
  </r>
  <r>
    <n v="90"/>
    <n v="64"/>
    <m/>
    <m/>
    <n v="0.6"/>
    <x v="3"/>
  </r>
  <r>
    <n v="91"/>
    <n v="83"/>
    <m/>
    <m/>
    <n v="0.37"/>
    <x v="11"/>
  </r>
  <r>
    <n v="91"/>
    <n v="79"/>
    <m/>
    <m/>
    <n v="0.41"/>
    <x v="12"/>
  </r>
  <r>
    <n v="92"/>
    <n v="64"/>
    <m/>
    <m/>
    <n v="0.61"/>
    <x v="13"/>
  </r>
  <r>
    <n v="93"/>
    <n v="84"/>
    <m/>
    <m/>
    <n v="0.61"/>
    <x v="1"/>
  </r>
  <r>
    <n v="93"/>
    <n v="61"/>
    <m/>
    <m/>
    <n v="0.77"/>
    <x v="1"/>
  </r>
  <r>
    <n v="94"/>
    <n v="69"/>
    <m/>
    <m/>
    <n v="0.91"/>
    <x v="2"/>
  </r>
  <r>
    <n v="95"/>
    <n v="81"/>
    <m/>
    <m/>
    <n v="0.95"/>
    <x v="7"/>
  </r>
  <r>
    <n v="96"/>
    <n v="68"/>
    <m/>
    <m/>
    <n v="0.82"/>
    <x v="1"/>
  </r>
  <r>
    <n v="97"/>
    <n v="74"/>
    <m/>
    <m/>
    <n v="0.64"/>
    <x v="13"/>
  </r>
  <r>
    <n v="97"/>
    <n v="83"/>
    <m/>
    <m/>
    <n v="0.37"/>
    <x v="3"/>
  </r>
  <r>
    <n v="97"/>
    <n v="71"/>
    <m/>
    <m/>
    <n v="0.7"/>
    <x v="7"/>
  </r>
  <r>
    <n v="98"/>
    <n v="85"/>
    <m/>
    <m/>
    <n v="0.4"/>
    <x v="3"/>
  </r>
  <r>
    <n v="98"/>
    <n v="83"/>
    <m/>
    <m/>
    <n v="0.35"/>
    <x v="1"/>
  </r>
  <r>
    <n v="99"/>
    <n v="89"/>
    <m/>
    <m/>
    <n v="0.27"/>
    <x v="13"/>
  </r>
  <r>
    <n v="100"/>
    <n v="70"/>
    <m/>
    <m/>
    <n v="0.95"/>
    <x v="10"/>
  </r>
  <r>
    <n v="100"/>
    <n v="78"/>
    <m/>
    <m/>
    <n v="0.88"/>
    <x v="12"/>
  </r>
  <r>
    <n v="101"/>
    <n v="85"/>
    <m/>
    <m/>
    <n v="0.8"/>
    <x v="9"/>
  </r>
  <r>
    <n v="103"/>
    <n v="77"/>
    <m/>
    <m/>
    <n v="0.65"/>
    <x v="7"/>
  </r>
  <r>
    <n v="103"/>
    <n v="82"/>
    <m/>
    <m/>
    <n v="0.64"/>
    <x v="1"/>
  </r>
  <r>
    <n v="103"/>
    <n v="62"/>
    <m/>
    <m/>
    <n v="0.69"/>
    <x v="7"/>
  </r>
  <r>
    <n v="104"/>
    <n v="67"/>
    <m/>
    <m/>
    <n v="0.2"/>
    <x v="10"/>
  </r>
  <r>
    <n v="105"/>
    <n v="74"/>
    <m/>
    <m/>
    <n v="0.28000000000000003"/>
    <x v="12"/>
  </r>
  <r>
    <n v="105"/>
    <n v="72"/>
    <m/>
    <m/>
    <n v="0.49"/>
    <x v="3"/>
  </r>
  <r>
    <n v="106"/>
    <n v="71"/>
    <m/>
    <m/>
    <n v="0.62"/>
    <x v="14"/>
  </r>
  <r>
    <n v="106"/>
    <n v="63"/>
    <m/>
    <m/>
    <n v="0.71"/>
    <x v="9"/>
  </r>
  <r>
    <n v="106"/>
    <n v="67"/>
    <m/>
    <m/>
    <n v="0.69"/>
    <x v="11"/>
  </r>
  <r>
    <n v="107"/>
    <n v="74"/>
    <m/>
    <m/>
    <n v="0.63"/>
    <x v="12"/>
  </r>
  <r>
    <n v="107"/>
    <n v="85"/>
    <m/>
    <m/>
    <n v="0.92"/>
    <x v="11"/>
  </r>
  <r>
    <n v="108"/>
    <n v="82"/>
    <m/>
    <m/>
    <n v="0.99"/>
    <x v="9"/>
  </r>
  <r>
    <n v="110"/>
    <n v="66"/>
    <m/>
    <m/>
    <n v="0.99"/>
    <x v="2"/>
  </r>
  <r>
    <n v="110"/>
    <n v="60"/>
    <m/>
    <m/>
    <n v="0.78"/>
    <x v="2"/>
  </r>
  <r>
    <n v="110"/>
    <n v="68"/>
    <m/>
    <m/>
    <n v="0.44"/>
    <x v="9"/>
  </r>
  <r>
    <n v="111"/>
    <n v="80"/>
    <m/>
    <m/>
    <n v="0.8"/>
    <x v="12"/>
  </r>
  <r>
    <n v="111"/>
    <n v="88"/>
    <m/>
    <m/>
    <n v="0.33"/>
    <x v="10"/>
  </r>
  <r>
    <n v="112"/>
    <n v="89"/>
    <m/>
    <m/>
    <n v="0.46"/>
    <x v="11"/>
  </r>
  <r>
    <n v="113"/>
    <n v="80"/>
    <m/>
    <m/>
    <n v="0.51"/>
    <x v="1"/>
  </r>
  <r>
    <n v="113"/>
    <n v="62"/>
    <m/>
    <m/>
    <n v="0.87"/>
    <x v="3"/>
  </r>
  <r>
    <n v="113"/>
    <n v="85"/>
    <m/>
    <m/>
    <n v="0.92"/>
    <x v="11"/>
  </r>
  <r>
    <n v="114"/>
    <n v="66"/>
    <m/>
    <m/>
    <n v="0.98"/>
    <x v="10"/>
  </r>
  <r>
    <n v="115"/>
    <n v="82"/>
    <m/>
    <m/>
    <n v="0.69"/>
    <x v="12"/>
  </r>
  <r>
    <n v="116"/>
    <n v="62"/>
    <m/>
    <m/>
    <n v="0.71"/>
    <x v="9"/>
  </r>
  <r>
    <n v="117"/>
    <n v="74"/>
    <m/>
    <m/>
    <n v="0.53"/>
    <x v="11"/>
  </r>
  <r>
    <n v="118"/>
    <n v="90"/>
    <m/>
    <m/>
    <n v="0.62"/>
    <x v="12"/>
  </r>
  <r>
    <n v="118"/>
    <n v="74"/>
    <m/>
    <m/>
    <n v="0.57999999999999996"/>
    <x v="2"/>
  </r>
  <r>
    <n v="120"/>
    <n v="75"/>
    <m/>
    <m/>
    <n v="0.21"/>
    <x v="9"/>
  </r>
  <r>
    <n v="122"/>
    <n v="86"/>
    <m/>
    <m/>
    <n v="0.26"/>
    <x v="13"/>
  </r>
  <r>
    <n v="123"/>
    <n v="60"/>
    <m/>
    <m/>
    <n v="0.24"/>
    <x v="3"/>
  </r>
  <r>
    <n v="123"/>
    <n v="64"/>
    <m/>
    <m/>
    <n v="0.4"/>
    <x v="14"/>
  </r>
  <r>
    <n v="124"/>
    <n v="73"/>
    <m/>
    <m/>
    <n v="0.49"/>
    <x v="2"/>
  </r>
  <r>
    <n v="124"/>
    <n v="87"/>
    <m/>
    <m/>
    <n v="0.36"/>
    <x v="14"/>
  </r>
  <r>
    <n v="124"/>
    <n v="71"/>
    <m/>
    <m/>
    <n v="0.54"/>
    <x v="13"/>
  </r>
  <r>
    <n v="125"/>
    <n v="67"/>
    <m/>
    <m/>
    <n v="0.39"/>
    <x v="7"/>
  </r>
  <r>
    <n v="125"/>
    <n v="73"/>
    <m/>
    <m/>
    <n v="0.92"/>
    <x v="2"/>
  </r>
  <r>
    <n v="126"/>
    <n v="74"/>
    <m/>
    <m/>
    <n v="0.34"/>
    <x v="1"/>
  </r>
  <r>
    <n v="127"/>
    <n v="61"/>
    <m/>
    <m/>
    <n v="0.56000000000000005"/>
    <x v="13"/>
  </r>
  <r>
    <n v="128"/>
    <n v="79"/>
    <m/>
    <m/>
    <n v="0.5"/>
    <x v="11"/>
  </r>
  <r>
    <n v="128"/>
    <n v="74"/>
    <m/>
    <m/>
    <n v="0.56999999999999995"/>
    <x v="14"/>
  </r>
  <r>
    <n v="128"/>
    <n v="77"/>
    <m/>
    <m/>
    <n v="0.45"/>
    <x v="10"/>
  </r>
  <r>
    <n v="128"/>
    <n v="85"/>
    <m/>
    <m/>
    <n v="0.99"/>
    <x v="9"/>
  </r>
  <r>
    <n v="129"/>
    <n v="80"/>
    <m/>
    <m/>
    <n v="0.38"/>
    <x v="7"/>
  </r>
  <r>
    <n v="129"/>
    <n v="81"/>
    <m/>
    <m/>
    <n v="0.93"/>
    <x v="2"/>
  </r>
  <r>
    <n v="130"/>
    <n v="87"/>
    <m/>
    <m/>
    <n v="0.89"/>
    <x v="10"/>
  </r>
  <r>
    <n v="131"/>
    <n v="87"/>
    <m/>
    <m/>
    <n v="0.88"/>
    <x v="3"/>
  </r>
  <r>
    <n v="131"/>
    <n v="63"/>
    <m/>
    <m/>
    <n v="0.73"/>
    <x v="3"/>
  </r>
  <r>
    <n v="132"/>
    <n v="67"/>
    <m/>
    <m/>
    <n v="0.78"/>
    <x v="13"/>
  </r>
  <r>
    <n v="133"/>
    <n v="84"/>
    <m/>
    <m/>
    <n v="0.85"/>
    <x v="1"/>
  </r>
  <r>
    <n v="134"/>
    <n v="68"/>
    <m/>
    <m/>
    <n v="0.23"/>
    <x v="13"/>
  </r>
  <r>
    <n v="134"/>
    <n v="60"/>
    <m/>
    <m/>
    <n v="0.8"/>
    <x v="9"/>
  </r>
  <r>
    <n v="134"/>
    <n v="62"/>
    <m/>
    <m/>
    <n v="0.2"/>
    <x v="14"/>
  </r>
  <r>
    <n v="136"/>
    <n v="89"/>
    <m/>
    <m/>
    <n v="0.65"/>
    <x v="11"/>
  </r>
  <r>
    <n v="137"/>
    <n v="82"/>
    <m/>
    <m/>
    <n v="0.63"/>
    <x v="12"/>
  </r>
  <r>
    <n v="138"/>
    <n v="86"/>
    <m/>
    <m/>
    <n v="0.94"/>
    <x v="7"/>
  </r>
  <r>
    <n v="139"/>
    <n v="67"/>
    <m/>
    <m/>
    <n v="0.89"/>
    <x v="10"/>
  </r>
  <r>
    <n v="140"/>
    <n v="66"/>
    <m/>
    <m/>
    <n v="0.53"/>
    <x v="2"/>
  </r>
  <r>
    <n v="143"/>
    <n v="89"/>
    <m/>
    <m/>
    <n v="0.23"/>
    <x v="14"/>
  </r>
  <r>
    <n v="143"/>
    <n v="61"/>
    <m/>
    <m/>
    <n v="0.82"/>
    <x v="14"/>
  </r>
  <r>
    <n v="150"/>
    <n v="71"/>
    <m/>
    <m/>
    <n v="0.6"/>
    <x v="14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  <r>
    <m/>
    <m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3B056-151D-413E-844E-1B246B590754}" name="数据透视表14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7:M24" firstHeaderRow="0" firstDataRow="1" firstDataCol="1"/>
  <pivotFields count="6">
    <pivotField dataField="1" showAll="0"/>
    <pivotField dataField="1" showAll="0"/>
    <pivotField dataField="1" showAll="0"/>
    <pivotField dataField="1" showAll="0"/>
    <pivotField showAll="0"/>
    <pivotField axis="axisRow" showAll="0">
      <items count="17">
        <item x="12"/>
        <item x="11"/>
        <item x="0"/>
        <item x="14"/>
        <item x="8"/>
        <item x="4"/>
        <item x="13"/>
        <item x="2"/>
        <item x="9"/>
        <item x="6"/>
        <item x="10"/>
        <item x="1"/>
        <item x="7"/>
        <item x="5"/>
        <item x="3"/>
        <item x="15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体脂分析" fld="3" subtotal="average" baseField="5" baseItem="0"/>
    <dataField name="平均值项:血糖" fld="2" subtotal="average" baseField="5" baseItem="0"/>
    <dataField name="平均值项:舒张压" fld="1" subtotal="average" baseField="5" baseItem="0"/>
    <dataField name="平均值项:收缩压" fld="0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5B89C-82E7-49FB-B8F8-3D742179E34D}" name="数据透视表9" cacheId="2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1:L2" firstHeaderRow="0" firstDataRow="1" firstDataCol="0"/>
  <pivotFields count="6">
    <pivotField showAll="0"/>
    <pivotField dataField="1" showAll="0">
      <items count="50">
        <item x="38"/>
        <item x="10"/>
        <item x="19"/>
        <item x="21"/>
        <item x="41"/>
        <item x="30"/>
        <item x="43"/>
        <item x="27"/>
        <item x="23"/>
        <item x="32"/>
        <item x="6"/>
        <item x="13"/>
        <item x="22"/>
        <item x="34"/>
        <item x="9"/>
        <item x="26"/>
        <item x="31"/>
        <item x="5"/>
        <item x="4"/>
        <item x="0"/>
        <item x="46"/>
        <item x="7"/>
        <item x="37"/>
        <item x="45"/>
        <item x="47"/>
        <item x="25"/>
        <item x="24"/>
        <item x="33"/>
        <item x="40"/>
        <item x="44"/>
        <item x="28"/>
        <item x="8"/>
        <item x="48"/>
        <item x="12"/>
        <item x="1"/>
        <item x="35"/>
        <item x="42"/>
        <item x="16"/>
        <item x="3"/>
        <item x="14"/>
        <item x="36"/>
        <item x="17"/>
        <item x="39"/>
        <item x="15"/>
        <item x="29"/>
        <item x="20"/>
        <item x="11"/>
        <item x="18"/>
        <item x="2"/>
        <item t="default"/>
      </items>
    </pivotField>
    <pivotField dataField="1" showAll="0">
      <items count="31">
        <item x="12"/>
        <item x="11"/>
        <item x="8"/>
        <item x="24"/>
        <item x="19"/>
        <item x="5"/>
        <item x="4"/>
        <item x="20"/>
        <item x="29"/>
        <item x="7"/>
        <item x="18"/>
        <item x="27"/>
        <item x="23"/>
        <item x="3"/>
        <item x="26"/>
        <item x="21"/>
        <item x="28"/>
        <item x="1"/>
        <item x="0"/>
        <item x="25"/>
        <item x="6"/>
        <item x="9"/>
        <item x="15"/>
        <item x="13"/>
        <item x="16"/>
        <item x="17"/>
        <item x="14"/>
        <item x="10"/>
        <item x="22"/>
        <item x="2"/>
        <item t="default"/>
      </items>
    </pivotField>
    <pivotField dataField="1" showAll="0">
      <items count="71">
        <item x="11"/>
        <item x="7"/>
        <item x="50"/>
        <item x="37"/>
        <item x="58"/>
        <item x="26"/>
        <item x="14"/>
        <item x="29"/>
        <item x="17"/>
        <item x="41"/>
        <item x="69"/>
        <item x="56"/>
        <item x="1"/>
        <item x="43"/>
        <item x="54"/>
        <item x="20"/>
        <item x="53"/>
        <item x="4"/>
        <item x="21"/>
        <item x="36"/>
        <item x="62"/>
        <item x="65"/>
        <item x="47"/>
        <item x="10"/>
        <item x="32"/>
        <item x="44"/>
        <item x="64"/>
        <item x="39"/>
        <item x="52"/>
        <item x="31"/>
        <item x="60"/>
        <item x="61"/>
        <item x="6"/>
        <item x="16"/>
        <item x="23"/>
        <item x="68"/>
        <item x="19"/>
        <item x="42"/>
        <item x="67"/>
        <item x="28"/>
        <item x="9"/>
        <item x="22"/>
        <item x="5"/>
        <item x="30"/>
        <item x="15"/>
        <item x="51"/>
        <item x="63"/>
        <item x="35"/>
        <item x="3"/>
        <item x="40"/>
        <item x="55"/>
        <item x="57"/>
        <item x="25"/>
        <item x="34"/>
        <item x="13"/>
        <item x="24"/>
        <item x="49"/>
        <item x="46"/>
        <item x="38"/>
        <item x="27"/>
        <item x="18"/>
        <item x="48"/>
        <item x="66"/>
        <item x="45"/>
        <item x="59"/>
        <item x="8"/>
        <item x="2"/>
        <item x="33"/>
        <item x="12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计数项:体脂分析" fld="4" subtotal="count" baseField="0" baseItem="1"/>
    <dataField name="计数项:血糖" fld="3" subtotal="count" baseField="0" baseItem="1"/>
    <dataField name="计数项:舒张压" fld="2" subtotal="count" baseField="0" baseItem="1"/>
    <dataField name="计数项:收缩压" fld="1" subtotal="count" baseField="0" baseItem="1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1A60-8C27-4C69-A56A-8EBE2D669DFC}">
  <dimension ref="A1"/>
  <sheetViews>
    <sheetView workbookViewId="0">
      <selection activeCell="C22" sqref="C22"/>
    </sheetView>
  </sheetViews>
  <sheetFormatPr defaultRowHeight="14" x14ac:dyDescent="0.2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workbookViewId="0">
      <selection activeCell="I1" sqref="I1:L3"/>
    </sheetView>
  </sheetViews>
  <sheetFormatPr defaultRowHeight="14" x14ac:dyDescent="0.25"/>
  <cols>
    <col min="1" max="1" width="17.36328125" style="11" customWidth="1"/>
    <col min="2" max="6" width="8.7265625" style="3"/>
    <col min="9" max="9" width="17.1796875" customWidth="1"/>
    <col min="10" max="10" width="19.81640625" bestFit="1" customWidth="1"/>
    <col min="11" max="11" width="15.26953125" bestFit="1" customWidth="1"/>
    <col min="12" max="13" width="17.54296875" bestFit="1" customWidth="1"/>
    <col min="14" max="14" width="13.26953125" bestFit="1" customWidth="1"/>
    <col min="15" max="19" width="3.453125" bestFit="1" customWidth="1"/>
    <col min="20" max="57" width="4.54296875" bestFit="1" customWidth="1"/>
    <col min="58" max="58" width="7.6328125" bestFit="1" customWidth="1"/>
    <col min="59" max="59" width="5.453125" bestFit="1" customWidth="1"/>
    <col min="60" max="60" width="5.26953125" bestFit="1" customWidth="1"/>
    <col min="61" max="66" width="4.54296875" bestFit="1" customWidth="1"/>
    <col min="67" max="67" width="8.7265625" bestFit="1" customWidth="1"/>
    <col min="68" max="68" width="5.26953125" bestFit="1" customWidth="1"/>
    <col min="69" max="69" width="8.7265625" bestFit="1" customWidth="1"/>
    <col min="70" max="70" width="5.26953125" bestFit="1" customWidth="1"/>
    <col min="71" max="71" width="4.54296875" bestFit="1" customWidth="1"/>
    <col min="72" max="72" width="8.7265625" bestFit="1" customWidth="1"/>
    <col min="73" max="73" width="5.26953125" bestFit="1" customWidth="1"/>
    <col min="74" max="74" width="8.7265625" bestFit="1" customWidth="1"/>
    <col min="75" max="75" width="5.26953125" bestFit="1" customWidth="1"/>
    <col min="76" max="76" width="4.54296875" bestFit="1" customWidth="1"/>
    <col min="77" max="77" width="8.7265625" bestFit="1" customWidth="1"/>
    <col min="78" max="78" width="5.26953125" bestFit="1" customWidth="1"/>
    <col min="79" max="80" width="4.54296875" bestFit="1" customWidth="1"/>
    <col min="81" max="81" width="8.7265625" bestFit="1" customWidth="1"/>
    <col min="82" max="82" width="5.26953125" bestFit="1" customWidth="1"/>
    <col min="83" max="83" width="4.54296875" bestFit="1" customWidth="1"/>
    <col min="84" max="84" width="8.7265625" bestFit="1" customWidth="1"/>
    <col min="85" max="85" width="5.26953125" bestFit="1" customWidth="1"/>
    <col min="86" max="88" width="4.54296875" bestFit="1" customWidth="1"/>
    <col min="89" max="89" width="8.7265625" bestFit="1" customWidth="1"/>
    <col min="90" max="90" width="5.26953125" bestFit="1" customWidth="1"/>
    <col min="91" max="92" width="3.453125" bestFit="1" customWidth="1"/>
    <col min="93" max="93" width="8.7265625" bestFit="1" customWidth="1"/>
    <col min="94" max="94" width="5.26953125" bestFit="1" customWidth="1"/>
    <col min="95" max="95" width="4.54296875" bestFit="1" customWidth="1"/>
    <col min="96" max="96" width="8.7265625" bestFit="1" customWidth="1"/>
    <col min="97" max="97" width="5.26953125" bestFit="1" customWidth="1"/>
    <col min="98" max="101" width="4.54296875" bestFit="1" customWidth="1"/>
    <col min="102" max="102" width="8.7265625" bestFit="1" customWidth="1"/>
    <col min="103" max="103" width="5.26953125" bestFit="1" customWidth="1"/>
    <col min="104" max="104" width="4.54296875" bestFit="1" customWidth="1"/>
    <col min="105" max="105" width="8.7265625" bestFit="1" customWidth="1"/>
    <col min="106" max="106" width="5.26953125" bestFit="1" customWidth="1"/>
    <col min="107" max="108" width="4.54296875" bestFit="1" customWidth="1"/>
    <col min="109" max="109" width="8.7265625" bestFit="1" customWidth="1"/>
    <col min="110" max="110" width="5.26953125" bestFit="1" customWidth="1"/>
    <col min="111" max="111" width="8.7265625" bestFit="1" customWidth="1"/>
    <col min="112" max="112" width="5.26953125" bestFit="1" customWidth="1"/>
    <col min="113" max="115" width="4.54296875" bestFit="1" customWidth="1"/>
    <col min="116" max="116" width="8.7265625" bestFit="1" customWidth="1"/>
    <col min="117" max="117" width="5.26953125" bestFit="1" customWidth="1"/>
    <col min="118" max="118" width="8.7265625" bestFit="1" customWidth="1"/>
    <col min="119" max="119" width="9.453125" bestFit="1" customWidth="1"/>
    <col min="120" max="120" width="13.1796875" bestFit="1" customWidth="1"/>
    <col min="121" max="121" width="5.453125" bestFit="1" customWidth="1"/>
    <col min="122" max="122" width="5.6328125" bestFit="1" customWidth="1"/>
    <col min="123" max="124" width="13.1796875" bestFit="1" customWidth="1"/>
    <col min="125" max="125" width="9.81640625" bestFit="1" customWidth="1"/>
    <col min="126" max="126" width="9.453125" bestFit="1" customWidth="1"/>
    <col min="127" max="128" width="13.1796875" bestFit="1" customWidth="1"/>
    <col min="129" max="129" width="9.81640625" bestFit="1" customWidth="1"/>
    <col min="130" max="130" width="9.453125" bestFit="1" customWidth="1"/>
    <col min="131" max="132" width="13.1796875" bestFit="1" customWidth="1"/>
    <col min="133" max="133" width="9.81640625" bestFit="1" customWidth="1"/>
    <col min="134" max="134" width="9.453125" bestFit="1" customWidth="1"/>
    <col min="135" max="135" width="4.54296875" bestFit="1" customWidth="1"/>
    <col min="136" max="137" width="13.1796875" bestFit="1" customWidth="1"/>
    <col min="138" max="138" width="9.81640625" bestFit="1" customWidth="1"/>
    <col min="139" max="139" width="9.453125" bestFit="1" customWidth="1"/>
    <col min="140" max="141" width="5.6328125" bestFit="1" customWidth="1"/>
    <col min="142" max="144" width="13.54296875" bestFit="1" customWidth="1"/>
    <col min="145" max="145" width="9.453125" bestFit="1" customWidth="1"/>
    <col min="146" max="146" width="5.6328125" bestFit="1" customWidth="1"/>
    <col min="147" max="148" width="13.1796875" bestFit="1" customWidth="1"/>
    <col min="149" max="149" width="9.81640625" bestFit="1" customWidth="1"/>
    <col min="150" max="150" width="9.453125" bestFit="1" customWidth="1"/>
    <col min="151" max="152" width="13.1796875" bestFit="1" customWidth="1"/>
    <col min="153" max="153" width="9.81640625" bestFit="1" customWidth="1"/>
    <col min="154" max="154" width="9.453125" bestFit="1" customWidth="1"/>
    <col min="155" max="156" width="13.1796875" bestFit="1" customWidth="1"/>
    <col min="157" max="157" width="9.81640625" bestFit="1" customWidth="1"/>
    <col min="158" max="158" width="9.453125" bestFit="1" customWidth="1"/>
    <col min="159" max="159" width="5.6328125" bestFit="1" customWidth="1"/>
    <col min="160" max="160" width="4.54296875" bestFit="1" customWidth="1"/>
    <col min="161" max="161" width="5.6328125" bestFit="1" customWidth="1"/>
    <col min="162" max="163" width="13.1796875" bestFit="1" customWidth="1"/>
    <col min="164" max="164" width="9.81640625" bestFit="1" customWidth="1"/>
    <col min="165" max="165" width="9.453125" bestFit="1" customWidth="1"/>
    <col min="166" max="166" width="5.6328125" bestFit="1" customWidth="1"/>
    <col min="167" max="168" width="13.1796875" bestFit="1" customWidth="1"/>
    <col min="169" max="169" width="9.81640625" bestFit="1" customWidth="1"/>
    <col min="170" max="170" width="9.453125" bestFit="1" customWidth="1"/>
    <col min="171" max="172" width="13.1796875" bestFit="1" customWidth="1"/>
    <col min="173" max="173" width="9.81640625" bestFit="1" customWidth="1"/>
    <col min="174" max="174" width="9.453125" bestFit="1" customWidth="1"/>
    <col min="175" max="175" width="5.6328125" bestFit="1" customWidth="1"/>
    <col min="176" max="177" width="13.1796875" bestFit="1" customWidth="1"/>
    <col min="178" max="178" width="9.81640625" bestFit="1" customWidth="1"/>
    <col min="179" max="179" width="9.453125" bestFit="1" customWidth="1"/>
    <col min="180" max="181" width="13.1796875" bestFit="1" customWidth="1"/>
    <col min="182" max="182" width="9.81640625" bestFit="1" customWidth="1"/>
    <col min="183" max="183" width="9.453125" bestFit="1" customWidth="1"/>
    <col min="184" max="185" width="13.1796875" bestFit="1" customWidth="1"/>
    <col min="186" max="186" width="9.81640625" bestFit="1" customWidth="1"/>
    <col min="187" max="187" width="9.453125" bestFit="1" customWidth="1"/>
    <col min="188" max="188" width="4.54296875" bestFit="1" customWidth="1"/>
    <col min="189" max="189" width="5.6328125" bestFit="1" customWidth="1"/>
    <col min="190" max="191" width="13.1796875" bestFit="1" customWidth="1"/>
    <col min="192" max="192" width="9.81640625" bestFit="1" customWidth="1"/>
    <col min="193" max="193" width="9.453125" bestFit="1" customWidth="1"/>
    <col min="194" max="195" width="13.1796875" bestFit="1" customWidth="1"/>
    <col min="196" max="196" width="9.81640625" bestFit="1" customWidth="1"/>
    <col min="197" max="197" width="9.453125" bestFit="1" customWidth="1"/>
    <col min="198" max="199" width="13.1796875" bestFit="1" customWidth="1"/>
    <col min="200" max="200" width="9.81640625" bestFit="1" customWidth="1"/>
    <col min="201" max="201" width="9.453125" bestFit="1" customWidth="1"/>
    <col min="202" max="203" width="13.1796875" bestFit="1" customWidth="1"/>
    <col min="204" max="204" width="9.81640625" bestFit="1" customWidth="1"/>
    <col min="205" max="205" width="9.453125" bestFit="1" customWidth="1"/>
    <col min="206" max="207" width="13.1796875" bestFit="1" customWidth="1"/>
    <col min="208" max="208" width="9.81640625" bestFit="1" customWidth="1"/>
    <col min="209" max="209" width="9.453125" bestFit="1" customWidth="1"/>
    <col min="210" max="211" width="13.1796875" bestFit="1" customWidth="1"/>
    <col min="212" max="212" width="9.81640625" bestFit="1" customWidth="1"/>
    <col min="213" max="213" width="9.453125" bestFit="1" customWidth="1"/>
    <col min="214" max="214" width="5.6328125" bestFit="1" customWidth="1"/>
    <col min="215" max="216" width="13.1796875" bestFit="1" customWidth="1"/>
    <col min="217" max="217" width="9.81640625" bestFit="1" customWidth="1"/>
    <col min="218" max="218" width="9.453125" bestFit="1" customWidth="1"/>
    <col min="219" max="220" width="13.1796875" bestFit="1" customWidth="1"/>
    <col min="221" max="221" width="9.81640625" bestFit="1" customWidth="1"/>
    <col min="222" max="222" width="9.453125" bestFit="1" customWidth="1"/>
    <col min="223" max="223" width="13.1796875" bestFit="1" customWidth="1"/>
    <col min="224" max="224" width="11" bestFit="1" customWidth="1"/>
    <col min="225" max="225" width="9.453125" bestFit="1" customWidth="1"/>
    <col min="226" max="226" width="11" bestFit="1" customWidth="1"/>
    <col min="227" max="227" width="7.6328125" bestFit="1" customWidth="1"/>
    <col min="228" max="228" width="11" bestFit="1" customWidth="1"/>
    <col min="229" max="229" width="7.6328125" bestFit="1" customWidth="1"/>
    <col min="230" max="230" width="11" bestFit="1" customWidth="1"/>
    <col min="231" max="231" width="7.6328125" bestFit="1" customWidth="1"/>
    <col min="232" max="232" width="11" bestFit="1" customWidth="1"/>
    <col min="233" max="233" width="7.6328125" bestFit="1" customWidth="1"/>
    <col min="234" max="234" width="11" bestFit="1" customWidth="1"/>
    <col min="235" max="235" width="7.6328125" bestFit="1" customWidth="1"/>
    <col min="236" max="236" width="9.81640625" bestFit="1" customWidth="1"/>
    <col min="237" max="237" width="7.6328125" bestFit="1" customWidth="1"/>
    <col min="238" max="238" width="11" bestFit="1" customWidth="1"/>
    <col min="239" max="239" width="7.6328125" bestFit="1" customWidth="1"/>
    <col min="240" max="240" width="11" bestFit="1" customWidth="1"/>
    <col min="241" max="241" width="7.6328125" bestFit="1" customWidth="1"/>
    <col min="242" max="242" width="9.81640625" bestFit="1" customWidth="1"/>
    <col min="243" max="243" width="7.6328125" bestFit="1" customWidth="1"/>
    <col min="244" max="244" width="11" bestFit="1" customWidth="1"/>
    <col min="245" max="245" width="7.6328125" bestFit="1" customWidth="1"/>
    <col min="246" max="246" width="11" bestFit="1" customWidth="1"/>
    <col min="247" max="247" width="7.6328125" bestFit="1" customWidth="1"/>
    <col min="248" max="248" width="11" bestFit="1" customWidth="1"/>
    <col min="249" max="249" width="7.6328125" bestFit="1" customWidth="1"/>
    <col min="250" max="250" width="11" bestFit="1" customWidth="1"/>
    <col min="251" max="251" width="7.6328125" bestFit="1" customWidth="1"/>
    <col min="252" max="252" width="11" bestFit="1" customWidth="1"/>
    <col min="253" max="253" width="7.6328125" bestFit="1" customWidth="1"/>
    <col min="254" max="254" width="11" bestFit="1" customWidth="1"/>
    <col min="255" max="255" width="7.6328125" bestFit="1" customWidth="1"/>
    <col min="256" max="256" width="11" bestFit="1" customWidth="1"/>
    <col min="257" max="257" width="7.6328125" bestFit="1" customWidth="1"/>
    <col min="258" max="258" width="11" bestFit="1" customWidth="1"/>
    <col min="259" max="259" width="7.6328125" bestFit="1" customWidth="1"/>
    <col min="260" max="260" width="9.81640625" bestFit="1" customWidth="1"/>
    <col min="261" max="261" width="7.6328125" bestFit="1" customWidth="1"/>
    <col min="262" max="262" width="11" bestFit="1" customWidth="1"/>
    <col min="263" max="263" width="7.6328125" bestFit="1" customWidth="1"/>
    <col min="264" max="264" width="11" bestFit="1" customWidth="1"/>
    <col min="265" max="265" width="7.6328125" bestFit="1" customWidth="1"/>
    <col min="266" max="266" width="11" bestFit="1" customWidth="1"/>
    <col min="267" max="267" width="7.6328125" bestFit="1" customWidth="1"/>
    <col min="268" max="268" width="11" bestFit="1" customWidth="1"/>
    <col min="269" max="269" width="7.6328125" bestFit="1" customWidth="1"/>
    <col min="270" max="270" width="11" bestFit="1" customWidth="1"/>
    <col min="271" max="271" width="7.6328125" bestFit="1" customWidth="1"/>
    <col min="272" max="272" width="11" bestFit="1" customWidth="1"/>
    <col min="273" max="273" width="7.6328125" bestFit="1" customWidth="1"/>
    <col min="274" max="274" width="11" bestFit="1" customWidth="1"/>
    <col min="275" max="275" width="7.6328125" bestFit="1" customWidth="1"/>
    <col min="276" max="276" width="11" bestFit="1" customWidth="1"/>
    <col min="277" max="277" width="7.6328125" bestFit="1" customWidth="1"/>
    <col min="278" max="278" width="11" bestFit="1" customWidth="1"/>
    <col min="279" max="279" width="7.6328125" bestFit="1" customWidth="1"/>
    <col min="280" max="280" width="11" bestFit="1" customWidth="1"/>
    <col min="281" max="281" width="7.6328125" bestFit="1" customWidth="1"/>
    <col min="282" max="282" width="11" bestFit="1" customWidth="1"/>
    <col min="283" max="283" width="7.6328125" bestFit="1" customWidth="1"/>
    <col min="284" max="284" width="11" bestFit="1" customWidth="1"/>
    <col min="285" max="285" width="7.6328125" bestFit="1" customWidth="1"/>
    <col min="286" max="286" width="11" bestFit="1" customWidth="1"/>
    <col min="287" max="287" width="7.6328125" bestFit="1" customWidth="1"/>
    <col min="288" max="288" width="11" bestFit="1" customWidth="1"/>
    <col min="289" max="289" width="7.6328125" bestFit="1" customWidth="1"/>
    <col min="290" max="290" width="11" bestFit="1" customWidth="1"/>
    <col min="291" max="291" width="7.6328125" bestFit="1" customWidth="1"/>
    <col min="292" max="292" width="11" bestFit="1" customWidth="1"/>
    <col min="293" max="293" width="7.6328125" bestFit="1" customWidth="1"/>
    <col min="294" max="294" width="11" bestFit="1" customWidth="1"/>
    <col min="295" max="295" width="7.6328125" bestFit="1" customWidth="1"/>
    <col min="296" max="296" width="11" bestFit="1" customWidth="1"/>
    <col min="297" max="297" width="7.6328125" bestFit="1" customWidth="1"/>
    <col min="298" max="298" width="11" bestFit="1" customWidth="1"/>
    <col min="299" max="299" width="7.6328125" bestFit="1" customWidth="1"/>
    <col min="300" max="300" width="11" bestFit="1" customWidth="1"/>
    <col min="301" max="301" width="7.6328125" bestFit="1" customWidth="1"/>
    <col min="302" max="302" width="11" bestFit="1" customWidth="1"/>
    <col min="303" max="303" width="7.6328125" bestFit="1" customWidth="1"/>
    <col min="304" max="304" width="11" bestFit="1" customWidth="1"/>
    <col min="305" max="305" width="7.6328125" bestFit="1" customWidth="1"/>
    <col min="306" max="306" width="9.81640625" bestFit="1" customWidth="1"/>
    <col min="307" max="307" width="7.6328125" bestFit="1" customWidth="1"/>
    <col min="308" max="308" width="11" bestFit="1" customWidth="1"/>
    <col min="309" max="309" width="7.6328125" bestFit="1" customWidth="1"/>
    <col min="310" max="310" width="11" bestFit="1" customWidth="1"/>
    <col min="311" max="311" width="7.6328125" bestFit="1" customWidth="1"/>
    <col min="312" max="312" width="11" bestFit="1" customWidth="1"/>
    <col min="313" max="313" width="7.6328125" bestFit="1" customWidth="1"/>
    <col min="314" max="314" width="11" bestFit="1" customWidth="1"/>
    <col min="315" max="315" width="7.6328125" bestFit="1" customWidth="1"/>
    <col min="316" max="316" width="11" bestFit="1" customWidth="1"/>
    <col min="317" max="317" width="7.6328125" bestFit="1" customWidth="1"/>
    <col min="318" max="318" width="11" bestFit="1" customWidth="1"/>
    <col min="319" max="319" width="7.6328125" bestFit="1" customWidth="1"/>
    <col min="320" max="320" width="11" bestFit="1" customWidth="1"/>
    <col min="321" max="321" width="7.6328125" bestFit="1" customWidth="1"/>
    <col min="322" max="322" width="11" bestFit="1" customWidth="1"/>
    <col min="323" max="323" width="7.6328125" bestFit="1" customWidth="1"/>
    <col min="324" max="324" width="11" bestFit="1" customWidth="1"/>
    <col min="325" max="325" width="7.6328125" bestFit="1" customWidth="1"/>
    <col min="326" max="326" width="11" bestFit="1" customWidth="1"/>
    <col min="327" max="327" width="7.6328125" bestFit="1" customWidth="1"/>
    <col min="328" max="328" width="11" bestFit="1" customWidth="1"/>
    <col min="329" max="329" width="7.6328125" bestFit="1" customWidth="1"/>
    <col min="330" max="330" width="11" bestFit="1" customWidth="1"/>
    <col min="331" max="331" width="7.6328125" bestFit="1" customWidth="1"/>
    <col min="332" max="332" width="11" bestFit="1" customWidth="1"/>
    <col min="333" max="333" width="7.6328125" bestFit="1" customWidth="1"/>
    <col min="334" max="334" width="11" bestFit="1" customWidth="1"/>
    <col min="335" max="335" width="7.6328125" bestFit="1" customWidth="1"/>
    <col min="336" max="336" width="11" bestFit="1" customWidth="1"/>
    <col min="337" max="337" width="7.6328125" bestFit="1" customWidth="1"/>
    <col min="338" max="338" width="11" bestFit="1" customWidth="1"/>
    <col min="339" max="339" width="7.6328125" bestFit="1" customWidth="1"/>
    <col min="340" max="340" width="11" bestFit="1" customWidth="1"/>
    <col min="341" max="341" width="7.6328125" bestFit="1" customWidth="1"/>
    <col min="342" max="342" width="11" bestFit="1" customWidth="1"/>
    <col min="343" max="343" width="7.6328125" bestFit="1" customWidth="1"/>
    <col min="344" max="344" width="11" bestFit="1" customWidth="1"/>
    <col min="345" max="345" width="7.6328125" bestFit="1" customWidth="1"/>
    <col min="346" max="346" width="11" bestFit="1" customWidth="1"/>
    <col min="347" max="347" width="7.6328125" bestFit="1" customWidth="1"/>
    <col min="348" max="348" width="11" bestFit="1" customWidth="1"/>
    <col min="349" max="349" width="7.6328125" bestFit="1" customWidth="1"/>
    <col min="350" max="350" width="11" bestFit="1" customWidth="1"/>
    <col min="351" max="351" width="7.6328125" bestFit="1" customWidth="1"/>
    <col min="352" max="352" width="9.81640625" bestFit="1" customWidth="1"/>
    <col min="353" max="353" width="7.6328125" bestFit="1" customWidth="1"/>
    <col min="354" max="354" width="11" bestFit="1" customWidth="1"/>
    <col min="355" max="355" width="7.6328125" bestFit="1" customWidth="1"/>
    <col min="356" max="356" width="11" bestFit="1" customWidth="1"/>
    <col min="357" max="357" width="7.6328125" bestFit="1" customWidth="1"/>
    <col min="358" max="358" width="11" bestFit="1" customWidth="1"/>
    <col min="359" max="359" width="7.6328125" bestFit="1" customWidth="1"/>
    <col min="360" max="360" width="11" bestFit="1" customWidth="1"/>
    <col min="361" max="361" width="7.6328125" bestFit="1" customWidth="1"/>
    <col min="362" max="362" width="11" bestFit="1" customWidth="1"/>
    <col min="363" max="363" width="9.453125" bestFit="1" customWidth="1"/>
    <col min="364" max="365" width="13.1796875" bestFit="1" customWidth="1"/>
    <col min="366" max="366" width="13.54296875" bestFit="1" customWidth="1"/>
    <col min="367" max="367" width="12.36328125" bestFit="1" customWidth="1"/>
  </cols>
  <sheetData>
    <row r="1" spans="1:13" x14ac:dyDescent="0.25">
      <c r="A1" s="10" t="s">
        <v>0</v>
      </c>
      <c r="B1" s="1" t="s">
        <v>1</v>
      </c>
      <c r="C1" s="1" t="s">
        <v>2</v>
      </c>
      <c r="D1" s="2" t="s">
        <v>123</v>
      </c>
      <c r="E1" s="2" t="s">
        <v>122</v>
      </c>
      <c r="F1" s="2" t="s">
        <v>121</v>
      </c>
      <c r="G1" s="2" t="s">
        <v>138</v>
      </c>
      <c r="I1" s="8" t="s">
        <v>130</v>
      </c>
      <c r="J1" s="8" t="s">
        <v>127</v>
      </c>
      <c r="K1" s="8" t="s">
        <v>129</v>
      </c>
      <c r="L1" s="8" t="s">
        <v>128</v>
      </c>
    </row>
    <row r="2" spans="1:13" x14ac:dyDescent="0.25">
      <c r="A2" s="11" t="s">
        <v>18</v>
      </c>
      <c r="D2" s="3">
        <v>4.0199999999999996</v>
      </c>
      <c r="F2" s="3">
        <v>0.8</v>
      </c>
      <c r="G2" t="str">
        <f>TEXT(A2,"HH:mm")</f>
        <v>07:00</v>
      </c>
      <c r="I2" s="9">
        <v>8</v>
      </c>
      <c r="J2" s="9">
        <v>80</v>
      </c>
      <c r="K2" s="9">
        <v>80</v>
      </c>
      <c r="L2" s="9">
        <v>80</v>
      </c>
    </row>
    <row r="3" spans="1:13" x14ac:dyDescent="0.25">
      <c r="A3" s="11" t="s">
        <v>13</v>
      </c>
      <c r="D3" s="3">
        <v>4.0599999999999996</v>
      </c>
      <c r="F3" s="3">
        <v>0.97</v>
      </c>
      <c r="G3" t="str">
        <f t="shared" ref="G3:G66" si="0">TEXT(A3,"HH:mm")</f>
        <v>18:00</v>
      </c>
      <c r="I3" s="8" t="s">
        <v>133</v>
      </c>
      <c r="J3" s="8" t="s">
        <v>132</v>
      </c>
      <c r="K3" s="7" t="s">
        <v>131</v>
      </c>
      <c r="L3" s="7"/>
    </row>
    <row r="4" spans="1:13" x14ac:dyDescent="0.25">
      <c r="A4" s="11" t="s">
        <v>83</v>
      </c>
      <c r="D4" s="3">
        <v>4.09</v>
      </c>
      <c r="F4" s="3">
        <v>0.3</v>
      </c>
      <c r="G4" t="str">
        <f t="shared" si="0"/>
        <v>18:00</v>
      </c>
    </row>
    <row r="5" spans="1:13" x14ac:dyDescent="0.25">
      <c r="A5" s="11" t="s">
        <v>60</v>
      </c>
      <c r="D5" s="3">
        <v>4.12</v>
      </c>
      <c r="F5" s="3">
        <v>0.78</v>
      </c>
      <c r="G5" t="str">
        <f t="shared" si="0"/>
        <v>07:00</v>
      </c>
    </row>
    <row r="6" spans="1:13" x14ac:dyDescent="0.25">
      <c r="A6" s="11" t="s">
        <v>97</v>
      </c>
      <c r="D6" s="3">
        <v>4.1399999999999997</v>
      </c>
      <c r="F6" s="3">
        <v>0.65</v>
      </c>
      <c r="G6" t="str">
        <f t="shared" si="0"/>
        <v>18:00</v>
      </c>
    </row>
    <row r="7" spans="1:13" x14ac:dyDescent="0.25">
      <c r="A7" s="11" t="s">
        <v>41</v>
      </c>
      <c r="D7" s="3">
        <v>4.2</v>
      </c>
      <c r="F7" s="3">
        <v>0.62</v>
      </c>
      <c r="G7" t="str">
        <f t="shared" si="0"/>
        <v>18:00</v>
      </c>
      <c r="I7" s="5" t="s">
        <v>124</v>
      </c>
      <c r="J7" t="s">
        <v>134</v>
      </c>
      <c r="K7" t="s">
        <v>136</v>
      </c>
      <c r="L7" t="s">
        <v>137</v>
      </c>
      <c r="M7" t="s">
        <v>135</v>
      </c>
    </row>
    <row r="8" spans="1:13" x14ac:dyDescent="0.25">
      <c r="A8" s="11" t="s">
        <v>23</v>
      </c>
      <c r="D8" s="3">
        <v>4.21</v>
      </c>
      <c r="F8" s="3">
        <v>0.27</v>
      </c>
      <c r="G8" t="str">
        <f t="shared" si="0"/>
        <v>12:00</v>
      </c>
      <c r="I8" s="6" t="s">
        <v>139</v>
      </c>
      <c r="J8" s="4"/>
      <c r="K8" s="4"/>
      <c r="L8" s="4">
        <v>79.875</v>
      </c>
      <c r="M8" s="4">
        <v>110.5</v>
      </c>
    </row>
    <row r="9" spans="1:13" x14ac:dyDescent="0.25">
      <c r="A9" s="11" t="s">
        <v>44</v>
      </c>
      <c r="D9" s="3">
        <v>4.25</v>
      </c>
      <c r="F9" s="3">
        <v>0.51</v>
      </c>
      <c r="G9" t="str">
        <f t="shared" si="0"/>
        <v>22:00</v>
      </c>
      <c r="I9" s="6" t="s">
        <v>140</v>
      </c>
      <c r="J9" s="4"/>
      <c r="K9" s="4"/>
      <c r="L9" s="4">
        <v>81.375</v>
      </c>
      <c r="M9" s="4">
        <v>113.75</v>
      </c>
    </row>
    <row r="10" spans="1:13" x14ac:dyDescent="0.25">
      <c r="A10" s="11" t="s">
        <v>27</v>
      </c>
      <c r="D10" s="3">
        <v>4.3</v>
      </c>
      <c r="F10" s="3">
        <v>0.64</v>
      </c>
      <c r="G10" t="str">
        <f t="shared" si="0"/>
        <v>18:00</v>
      </c>
      <c r="I10" s="6" t="s">
        <v>141</v>
      </c>
      <c r="J10" s="4">
        <v>0.16999999999999998</v>
      </c>
      <c r="K10" s="4">
        <v>4.4824999999999999</v>
      </c>
      <c r="L10" s="4"/>
      <c r="M10" s="4"/>
    </row>
    <row r="11" spans="1:13" x14ac:dyDescent="0.25">
      <c r="A11" s="11" t="s">
        <v>55</v>
      </c>
      <c r="D11" s="3">
        <v>4.3</v>
      </c>
      <c r="F11" s="3">
        <v>0.22</v>
      </c>
      <c r="G11" t="str">
        <f t="shared" si="0"/>
        <v>18:00</v>
      </c>
      <c r="I11" s="6" t="s">
        <v>142</v>
      </c>
      <c r="J11" s="4"/>
      <c r="K11" s="4"/>
      <c r="L11" s="4">
        <v>72.375</v>
      </c>
      <c r="M11" s="4">
        <v>131.375</v>
      </c>
    </row>
    <row r="12" spans="1:13" x14ac:dyDescent="0.25">
      <c r="A12" s="11" t="s">
        <v>69</v>
      </c>
      <c r="D12" s="3">
        <v>4.3099999999999996</v>
      </c>
      <c r="F12" s="3">
        <v>0.76</v>
      </c>
      <c r="G12" t="str">
        <f t="shared" si="0"/>
        <v>18:00</v>
      </c>
      <c r="I12" s="6" t="s">
        <v>143</v>
      </c>
      <c r="J12" s="4"/>
      <c r="K12" s="4">
        <v>6.8949999999999996</v>
      </c>
      <c r="L12" s="4"/>
      <c r="M12" s="4"/>
    </row>
    <row r="13" spans="1:13" x14ac:dyDescent="0.25">
      <c r="A13" s="11" t="s">
        <v>112</v>
      </c>
      <c r="D13" s="3">
        <v>4.32</v>
      </c>
      <c r="F13" s="3">
        <v>0.46</v>
      </c>
      <c r="G13" t="str">
        <f t="shared" si="0"/>
        <v>22:00</v>
      </c>
      <c r="I13" s="6" t="s">
        <v>144</v>
      </c>
      <c r="J13" s="4"/>
      <c r="K13" s="4">
        <v>5.9312499999999995</v>
      </c>
      <c r="L13" s="4"/>
      <c r="M13" s="4"/>
    </row>
    <row r="14" spans="1:13" x14ac:dyDescent="0.25">
      <c r="A14" s="11" t="s">
        <v>93</v>
      </c>
      <c r="D14" s="3">
        <v>4.3600000000000003</v>
      </c>
      <c r="F14" s="3">
        <v>0.65</v>
      </c>
      <c r="G14" t="str">
        <f t="shared" si="0"/>
        <v>12:00</v>
      </c>
      <c r="I14" s="6" t="s">
        <v>145</v>
      </c>
      <c r="J14" s="4"/>
      <c r="K14" s="4"/>
      <c r="L14" s="4">
        <v>72.5</v>
      </c>
      <c r="M14" s="4">
        <v>115.875</v>
      </c>
    </row>
    <row r="15" spans="1:13" x14ac:dyDescent="0.25">
      <c r="A15" s="11" t="s">
        <v>4</v>
      </c>
      <c r="D15" s="3">
        <v>4.37</v>
      </c>
      <c r="F15" s="3">
        <v>0.89</v>
      </c>
      <c r="G15" t="str">
        <f t="shared" si="0"/>
        <v>07:00</v>
      </c>
      <c r="I15" s="6" t="s">
        <v>146</v>
      </c>
      <c r="J15" s="4"/>
      <c r="K15" s="4">
        <v>4.6387499999999999</v>
      </c>
      <c r="L15" s="4">
        <v>70.25</v>
      </c>
      <c r="M15" s="4">
        <v>118.75</v>
      </c>
    </row>
    <row r="16" spans="1:13" x14ac:dyDescent="0.25">
      <c r="A16" s="11" t="s">
        <v>37</v>
      </c>
      <c r="D16" s="3">
        <v>4.37</v>
      </c>
      <c r="F16" s="3">
        <v>0.52</v>
      </c>
      <c r="G16" t="str">
        <f t="shared" si="0"/>
        <v>12:00</v>
      </c>
      <c r="I16" s="6" t="s">
        <v>147</v>
      </c>
      <c r="J16" s="4"/>
      <c r="K16" s="4">
        <v>6.8124999999999991</v>
      </c>
      <c r="L16" s="4">
        <v>72.5</v>
      </c>
      <c r="M16" s="4">
        <v>115.375</v>
      </c>
    </row>
    <row r="17" spans="1:13" x14ac:dyDescent="0.25">
      <c r="A17" s="11" t="s">
        <v>72</v>
      </c>
      <c r="D17" s="3">
        <v>4.38</v>
      </c>
      <c r="F17" s="3">
        <v>0.76</v>
      </c>
      <c r="G17" t="str">
        <f t="shared" si="0"/>
        <v>22:00</v>
      </c>
      <c r="I17" s="6" t="s">
        <v>148</v>
      </c>
      <c r="J17" s="4"/>
      <c r="K17" s="4">
        <v>6.1987500000000004</v>
      </c>
      <c r="L17" s="4"/>
      <c r="M17" s="4"/>
    </row>
    <row r="18" spans="1:13" x14ac:dyDescent="0.25">
      <c r="A18" s="11" t="s">
        <v>88</v>
      </c>
      <c r="D18" s="3">
        <v>4.3899999999999997</v>
      </c>
      <c r="F18" s="3">
        <v>0.78</v>
      </c>
      <c r="G18" t="str">
        <f t="shared" si="0"/>
        <v>07:00</v>
      </c>
      <c r="I18" s="6" t="s">
        <v>149</v>
      </c>
      <c r="J18" s="4"/>
      <c r="K18" s="4"/>
      <c r="L18" s="4">
        <v>73</v>
      </c>
      <c r="M18" s="4">
        <v>114.5</v>
      </c>
    </row>
    <row r="19" spans="1:13" x14ac:dyDescent="0.25">
      <c r="A19" s="11" t="s">
        <v>30</v>
      </c>
      <c r="D19" s="3">
        <v>4.49</v>
      </c>
      <c r="F19" s="3">
        <v>0.67</v>
      </c>
      <c r="G19" t="str">
        <f t="shared" si="0"/>
        <v>22:00</v>
      </c>
      <c r="I19" s="6" t="s">
        <v>150</v>
      </c>
      <c r="J19" s="4"/>
      <c r="K19" s="4">
        <v>4.2712500000000002</v>
      </c>
      <c r="L19" s="4">
        <v>77</v>
      </c>
      <c r="M19" s="4">
        <v>106.875</v>
      </c>
    </row>
    <row r="20" spans="1:13" x14ac:dyDescent="0.25">
      <c r="A20" s="11" t="s">
        <v>86</v>
      </c>
      <c r="D20" s="3">
        <v>4.53</v>
      </c>
      <c r="F20" s="3">
        <v>0.39</v>
      </c>
      <c r="G20" t="str">
        <f t="shared" si="0"/>
        <v>22:00</v>
      </c>
      <c r="I20" s="6" t="s">
        <v>151</v>
      </c>
      <c r="J20" s="4"/>
      <c r="K20" s="4">
        <v>6.808749999999999</v>
      </c>
      <c r="L20" s="4">
        <v>74.375</v>
      </c>
      <c r="M20" s="4">
        <v>110</v>
      </c>
    </row>
    <row r="21" spans="1:13" x14ac:dyDescent="0.25">
      <c r="A21" s="11" t="s">
        <v>9</v>
      </c>
      <c r="D21" s="3">
        <v>4.5999999999999996</v>
      </c>
      <c r="F21" s="3">
        <v>0.47</v>
      </c>
      <c r="G21" t="str">
        <f t="shared" si="0"/>
        <v>12:00</v>
      </c>
      <c r="I21" s="6" t="s">
        <v>152</v>
      </c>
      <c r="J21" s="4"/>
      <c r="K21" s="4">
        <v>5.8325000000000005</v>
      </c>
      <c r="L21" s="4"/>
      <c r="M21" s="4"/>
    </row>
    <row r="22" spans="1:13" x14ac:dyDescent="0.25">
      <c r="A22" s="11" t="s">
        <v>32</v>
      </c>
      <c r="D22" s="3">
        <v>4.6100000000000003</v>
      </c>
      <c r="F22" s="3">
        <v>0.59</v>
      </c>
      <c r="G22" t="str">
        <f t="shared" si="0"/>
        <v>07:00</v>
      </c>
      <c r="I22" s="6" t="s">
        <v>153</v>
      </c>
      <c r="J22" s="4"/>
      <c r="K22" s="4">
        <v>4.5887500000000001</v>
      </c>
      <c r="L22" s="4">
        <v>72</v>
      </c>
      <c r="M22" s="4">
        <v>111</v>
      </c>
    </row>
    <row r="23" spans="1:13" x14ac:dyDescent="0.25">
      <c r="A23" s="11" t="s">
        <v>46</v>
      </c>
      <c r="D23" s="3">
        <v>4.6100000000000003</v>
      </c>
      <c r="F23" s="3">
        <v>0.42</v>
      </c>
      <c r="G23" t="str">
        <f t="shared" si="0"/>
        <v>07:00</v>
      </c>
      <c r="I23" s="6" t="s">
        <v>125</v>
      </c>
      <c r="J23" s="4"/>
      <c r="K23" s="4"/>
      <c r="L23" s="4"/>
      <c r="M23" s="4"/>
    </row>
    <row r="24" spans="1:13" x14ac:dyDescent="0.25">
      <c r="A24" s="11" t="s">
        <v>58</v>
      </c>
      <c r="D24" s="3">
        <v>4.6399999999999997</v>
      </c>
      <c r="F24" s="3">
        <v>0.63</v>
      </c>
      <c r="G24" t="str">
        <f t="shared" si="0"/>
        <v>22:00</v>
      </c>
      <c r="I24" s="6" t="s">
        <v>126</v>
      </c>
      <c r="J24" s="4">
        <v>0.16999999999999998</v>
      </c>
      <c r="K24" s="4">
        <v>5.645999999999999</v>
      </c>
      <c r="L24" s="4">
        <v>74.525000000000006</v>
      </c>
      <c r="M24" s="4">
        <v>114.8</v>
      </c>
    </row>
    <row r="25" spans="1:13" x14ac:dyDescent="0.25">
      <c r="A25" s="11" t="s">
        <v>101</v>
      </c>
      <c r="D25" s="3">
        <v>4.7699999999999996</v>
      </c>
      <c r="F25" s="3">
        <v>0.88</v>
      </c>
      <c r="G25" t="str">
        <f t="shared" si="0"/>
        <v>07:00</v>
      </c>
    </row>
    <row r="26" spans="1:13" x14ac:dyDescent="0.25">
      <c r="A26" s="11" t="s">
        <v>109</v>
      </c>
      <c r="D26" s="3">
        <v>4.7699999999999996</v>
      </c>
      <c r="F26" s="3">
        <v>0.42</v>
      </c>
      <c r="G26" t="str">
        <f t="shared" si="0"/>
        <v>18:00</v>
      </c>
    </row>
    <row r="27" spans="1:13" x14ac:dyDescent="0.25">
      <c r="A27" s="11" t="s">
        <v>105</v>
      </c>
      <c r="D27" s="3">
        <v>4.82</v>
      </c>
      <c r="F27" s="3">
        <v>0.52</v>
      </c>
      <c r="G27" t="str">
        <f t="shared" si="0"/>
        <v>12:00</v>
      </c>
    </row>
    <row r="28" spans="1:13" x14ac:dyDescent="0.25">
      <c r="A28" s="11" t="s">
        <v>79</v>
      </c>
      <c r="D28" s="3">
        <v>4.8899999999999997</v>
      </c>
      <c r="F28" s="3">
        <v>0.76</v>
      </c>
      <c r="G28" t="str">
        <f t="shared" si="0"/>
        <v>12:00</v>
      </c>
    </row>
    <row r="29" spans="1:13" x14ac:dyDescent="0.25">
      <c r="A29" s="11" t="s">
        <v>16</v>
      </c>
      <c r="D29" s="3">
        <v>4.91</v>
      </c>
      <c r="F29" s="3">
        <v>0.66</v>
      </c>
      <c r="G29" t="str">
        <f t="shared" si="0"/>
        <v>22:00</v>
      </c>
    </row>
    <row r="30" spans="1:13" x14ac:dyDescent="0.25">
      <c r="A30" s="11" t="s">
        <v>65</v>
      </c>
      <c r="D30" s="3">
        <v>4.91</v>
      </c>
      <c r="F30" s="3">
        <v>0.74</v>
      </c>
      <c r="G30" t="str">
        <f t="shared" si="0"/>
        <v>12:00</v>
      </c>
    </row>
    <row r="31" spans="1:13" x14ac:dyDescent="0.25">
      <c r="A31" s="11" t="s">
        <v>51</v>
      </c>
      <c r="D31" s="3">
        <v>4.95</v>
      </c>
      <c r="F31" s="3">
        <v>0.63</v>
      </c>
      <c r="G31" t="str">
        <f t="shared" si="0"/>
        <v>12:00</v>
      </c>
    </row>
    <row r="32" spans="1:13" x14ac:dyDescent="0.25">
      <c r="A32" s="11" t="s">
        <v>74</v>
      </c>
      <c r="D32" s="3">
        <v>4.97</v>
      </c>
      <c r="F32" s="3">
        <v>0.56999999999999995</v>
      </c>
      <c r="G32" t="str">
        <f t="shared" si="0"/>
        <v>07:00</v>
      </c>
    </row>
    <row r="33" spans="1:7" x14ac:dyDescent="0.25">
      <c r="A33" s="11" t="s">
        <v>103</v>
      </c>
      <c r="D33" s="3">
        <v>5.01</v>
      </c>
      <c r="F33" s="3">
        <v>0.24</v>
      </c>
      <c r="G33" t="str">
        <f t="shared" si="0"/>
        <v>09:00</v>
      </c>
    </row>
    <row r="34" spans="1:7" x14ac:dyDescent="0.25">
      <c r="A34" s="11" t="s">
        <v>63</v>
      </c>
      <c r="D34" s="3">
        <v>5.07</v>
      </c>
      <c r="F34" s="3">
        <v>0.69</v>
      </c>
      <c r="G34" t="str">
        <f t="shared" si="0"/>
        <v>09:00</v>
      </c>
    </row>
    <row r="35" spans="1:7" x14ac:dyDescent="0.25">
      <c r="A35" s="11" t="s">
        <v>85</v>
      </c>
      <c r="D35" s="3">
        <v>5.09</v>
      </c>
      <c r="F35" s="3">
        <v>0.8</v>
      </c>
      <c r="G35" t="str">
        <f t="shared" si="0"/>
        <v>20:00</v>
      </c>
    </row>
    <row r="36" spans="1:7" x14ac:dyDescent="0.25">
      <c r="A36" s="11" t="s">
        <v>49</v>
      </c>
      <c r="D36" s="3">
        <v>5.13</v>
      </c>
      <c r="F36" s="3">
        <v>0.98</v>
      </c>
      <c r="G36" t="str">
        <f t="shared" si="0"/>
        <v>09:00</v>
      </c>
    </row>
    <row r="37" spans="1:7" x14ac:dyDescent="0.25">
      <c r="A37" s="11" t="s">
        <v>99</v>
      </c>
      <c r="D37" s="3">
        <v>5.15</v>
      </c>
      <c r="F37" s="3">
        <v>0.4</v>
      </c>
      <c r="G37" t="str">
        <f t="shared" si="0"/>
        <v>20:00</v>
      </c>
    </row>
    <row r="38" spans="1:7" x14ac:dyDescent="0.25">
      <c r="A38" s="11" t="s">
        <v>100</v>
      </c>
      <c r="D38" s="3">
        <v>5.19</v>
      </c>
      <c r="F38" s="3">
        <v>0.49</v>
      </c>
      <c r="G38" t="str">
        <f t="shared" si="0"/>
        <v>22:00</v>
      </c>
    </row>
    <row r="39" spans="1:7" x14ac:dyDescent="0.25">
      <c r="A39" s="11" t="s">
        <v>11</v>
      </c>
      <c r="D39" s="3">
        <v>5.31</v>
      </c>
      <c r="F39" s="3">
        <v>0.41</v>
      </c>
      <c r="G39" t="str">
        <f t="shared" si="0"/>
        <v>14:00</v>
      </c>
    </row>
    <row r="40" spans="1:7" x14ac:dyDescent="0.25">
      <c r="A40" s="11" t="s">
        <v>25</v>
      </c>
      <c r="D40" s="3">
        <v>5.37</v>
      </c>
      <c r="F40" s="3">
        <v>0.37</v>
      </c>
      <c r="G40" t="str">
        <f t="shared" si="0"/>
        <v>14:00</v>
      </c>
    </row>
    <row r="41" spans="1:7" x14ac:dyDescent="0.25">
      <c r="A41" s="11" t="s">
        <v>35</v>
      </c>
      <c r="D41" s="3">
        <v>5.58</v>
      </c>
      <c r="F41" s="3">
        <v>0.46</v>
      </c>
      <c r="G41" t="str">
        <f t="shared" si="0"/>
        <v>09:00</v>
      </c>
    </row>
    <row r="42" spans="1:7" x14ac:dyDescent="0.25">
      <c r="A42" s="11" t="s">
        <v>111</v>
      </c>
      <c r="D42" s="3">
        <v>5.72</v>
      </c>
      <c r="F42" s="3">
        <v>0.27</v>
      </c>
      <c r="G42" t="str">
        <f t="shared" si="0"/>
        <v>20:00</v>
      </c>
    </row>
    <row r="43" spans="1:7" x14ac:dyDescent="0.25">
      <c r="A43" s="11" t="s">
        <v>29</v>
      </c>
      <c r="D43" s="3">
        <v>5.86</v>
      </c>
      <c r="F43" s="3">
        <v>0.32</v>
      </c>
      <c r="G43" t="str">
        <f t="shared" si="0"/>
        <v>20:00</v>
      </c>
    </row>
    <row r="44" spans="1:7" x14ac:dyDescent="0.25">
      <c r="A44" s="11" t="s">
        <v>71</v>
      </c>
      <c r="D44" s="3">
        <v>6.09</v>
      </c>
      <c r="F44" s="3">
        <v>0.93</v>
      </c>
      <c r="G44" t="str">
        <f t="shared" si="0"/>
        <v>20:00</v>
      </c>
    </row>
    <row r="45" spans="1:7" x14ac:dyDescent="0.25">
      <c r="A45" s="11" t="s">
        <v>95</v>
      </c>
      <c r="D45" s="3">
        <v>6.09</v>
      </c>
      <c r="F45" s="3">
        <v>0.57999999999999996</v>
      </c>
      <c r="G45" t="str">
        <f t="shared" si="0"/>
        <v>14:00</v>
      </c>
    </row>
    <row r="46" spans="1:7" x14ac:dyDescent="0.25">
      <c r="A46" s="11" t="s">
        <v>110</v>
      </c>
      <c r="D46" s="3">
        <v>6.13</v>
      </c>
      <c r="F46" s="3">
        <v>0.54</v>
      </c>
      <c r="G46" t="str">
        <f t="shared" si="0"/>
        <v>19:00</v>
      </c>
    </row>
    <row r="47" spans="1:7" x14ac:dyDescent="0.25">
      <c r="A47" s="11" t="s">
        <v>43</v>
      </c>
      <c r="D47" s="3">
        <v>6.18</v>
      </c>
      <c r="F47" s="3">
        <v>0.76</v>
      </c>
      <c r="G47" t="str">
        <f t="shared" si="0"/>
        <v>20:00</v>
      </c>
    </row>
    <row r="48" spans="1:7" x14ac:dyDescent="0.25">
      <c r="A48" s="11" t="s">
        <v>56</v>
      </c>
      <c r="D48" s="3">
        <v>6.18</v>
      </c>
      <c r="F48" s="3">
        <v>0.8</v>
      </c>
      <c r="G48" t="str">
        <f t="shared" si="0"/>
        <v>19:00</v>
      </c>
    </row>
    <row r="49" spans="1:7" x14ac:dyDescent="0.25">
      <c r="A49" s="11" t="s">
        <v>15</v>
      </c>
      <c r="D49" s="3">
        <v>6.2</v>
      </c>
      <c r="F49" s="3">
        <v>0.66</v>
      </c>
      <c r="G49" t="str">
        <f t="shared" si="0"/>
        <v>20:00</v>
      </c>
    </row>
    <row r="50" spans="1:7" x14ac:dyDescent="0.25">
      <c r="A50" s="11" t="s">
        <v>34</v>
      </c>
      <c r="D50" s="3">
        <v>6.25</v>
      </c>
      <c r="F50" s="3">
        <v>0.76</v>
      </c>
      <c r="G50" t="str">
        <f t="shared" si="0"/>
        <v>08:00</v>
      </c>
    </row>
    <row r="51" spans="1:7" x14ac:dyDescent="0.25">
      <c r="A51" s="11" t="s">
        <v>10</v>
      </c>
      <c r="D51" s="3">
        <v>6.28</v>
      </c>
      <c r="F51" s="3">
        <v>0.51</v>
      </c>
      <c r="G51" t="str">
        <f t="shared" si="0"/>
        <v>13:00</v>
      </c>
    </row>
    <row r="52" spans="1:7" x14ac:dyDescent="0.25">
      <c r="A52" s="11" t="s">
        <v>48</v>
      </c>
      <c r="D52" s="3">
        <v>6.31</v>
      </c>
      <c r="F52" s="3">
        <v>0.48</v>
      </c>
      <c r="G52" t="str">
        <f t="shared" si="0"/>
        <v>08:00</v>
      </c>
    </row>
    <row r="53" spans="1:7" x14ac:dyDescent="0.25">
      <c r="A53" s="11" t="s">
        <v>24</v>
      </c>
      <c r="D53" s="3">
        <v>6.33</v>
      </c>
      <c r="F53" s="3">
        <v>0.27</v>
      </c>
      <c r="G53" t="str">
        <f t="shared" si="0"/>
        <v>13:00</v>
      </c>
    </row>
    <row r="54" spans="1:7" x14ac:dyDescent="0.25">
      <c r="A54" s="11" t="s">
        <v>67</v>
      </c>
      <c r="D54" s="3">
        <v>6.33</v>
      </c>
      <c r="F54" s="3">
        <v>0.27</v>
      </c>
      <c r="G54" t="str">
        <f t="shared" si="0"/>
        <v>14:00</v>
      </c>
    </row>
    <row r="55" spans="1:7" x14ac:dyDescent="0.25">
      <c r="A55" s="11" t="s">
        <v>84</v>
      </c>
      <c r="D55" s="3">
        <v>6.35</v>
      </c>
      <c r="F55" s="3">
        <v>0.27</v>
      </c>
      <c r="G55" t="str">
        <f t="shared" si="0"/>
        <v>19:00</v>
      </c>
    </row>
    <row r="56" spans="1:7" x14ac:dyDescent="0.25">
      <c r="A56" s="11" t="s">
        <v>102</v>
      </c>
      <c r="D56" s="3">
        <v>6.36</v>
      </c>
      <c r="F56" s="3">
        <v>0.84</v>
      </c>
      <c r="G56" t="str">
        <f t="shared" si="0"/>
        <v>08:00</v>
      </c>
    </row>
    <row r="57" spans="1:7" x14ac:dyDescent="0.25">
      <c r="A57" s="11" t="s">
        <v>57</v>
      </c>
      <c r="D57" s="3">
        <v>6.37</v>
      </c>
      <c r="F57" s="3">
        <v>0.23</v>
      </c>
      <c r="G57" t="str">
        <f t="shared" si="0"/>
        <v>20:00</v>
      </c>
    </row>
    <row r="58" spans="1:7" x14ac:dyDescent="0.25">
      <c r="A58" s="11" t="s">
        <v>7</v>
      </c>
      <c r="D58" s="3">
        <v>6.46</v>
      </c>
      <c r="F58" s="3">
        <v>0.7</v>
      </c>
      <c r="G58" t="str">
        <f t="shared" si="0"/>
        <v>09:00</v>
      </c>
    </row>
    <row r="59" spans="1:7" x14ac:dyDescent="0.25">
      <c r="A59" s="11" t="s">
        <v>107</v>
      </c>
      <c r="D59" s="3">
        <v>6.46</v>
      </c>
      <c r="F59" s="3">
        <v>0.65</v>
      </c>
      <c r="G59" t="str">
        <f t="shared" si="0"/>
        <v>14:00</v>
      </c>
    </row>
    <row r="60" spans="1:7" x14ac:dyDescent="0.25">
      <c r="A60" s="11" t="s">
        <v>66</v>
      </c>
      <c r="D60" s="3">
        <v>6.47</v>
      </c>
      <c r="F60" s="3">
        <v>0.82</v>
      </c>
      <c r="G60" t="str">
        <f t="shared" si="0"/>
        <v>13:00</v>
      </c>
    </row>
    <row r="61" spans="1:7" x14ac:dyDescent="0.25">
      <c r="A61" s="11" t="s">
        <v>90</v>
      </c>
      <c r="D61" s="3">
        <v>6.49</v>
      </c>
      <c r="F61" s="3">
        <v>0.32</v>
      </c>
      <c r="G61" t="str">
        <f t="shared" si="0"/>
        <v>08:00</v>
      </c>
    </row>
    <row r="62" spans="1:7" x14ac:dyDescent="0.25">
      <c r="A62" s="11" t="s">
        <v>94</v>
      </c>
      <c r="D62" s="3">
        <v>6.51</v>
      </c>
      <c r="F62" s="3">
        <v>0.57999999999999996</v>
      </c>
      <c r="G62" t="str">
        <f t="shared" si="0"/>
        <v>13:00</v>
      </c>
    </row>
    <row r="63" spans="1:7" x14ac:dyDescent="0.25">
      <c r="A63" s="11" t="s">
        <v>39</v>
      </c>
      <c r="D63" s="3">
        <v>6.57</v>
      </c>
      <c r="F63" s="3">
        <v>0.8</v>
      </c>
      <c r="G63" t="str">
        <f t="shared" si="0"/>
        <v>14:00</v>
      </c>
    </row>
    <row r="64" spans="1:7" x14ac:dyDescent="0.25">
      <c r="A64" s="11" t="s">
        <v>53</v>
      </c>
      <c r="D64" s="3">
        <v>6.62</v>
      </c>
      <c r="F64" s="3">
        <v>0.95</v>
      </c>
      <c r="G64" t="str">
        <f t="shared" si="0"/>
        <v>14:00</v>
      </c>
    </row>
    <row r="65" spans="1:7" x14ac:dyDescent="0.25">
      <c r="A65" s="11" t="s">
        <v>21</v>
      </c>
      <c r="D65" s="3">
        <v>6.66</v>
      </c>
      <c r="F65" s="3">
        <v>0.51</v>
      </c>
      <c r="G65" t="str">
        <f t="shared" si="0"/>
        <v>09:00</v>
      </c>
    </row>
    <row r="66" spans="1:7" x14ac:dyDescent="0.25">
      <c r="A66" s="11" t="s">
        <v>91</v>
      </c>
      <c r="D66" s="3">
        <v>6.66</v>
      </c>
      <c r="F66" s="3">
        <v>0.63</v>
      </c>
      <c r="G66" t="str">
        <f t="shared" si="0"/>
        <v>09:00</v>
      </c>
    </row>
    <row r="67" spans="1:7" x14ac:dyDescent="0.25">
      <c r="A67" s="11" t="s">
        <v>38</v>
      </c>
      <c r="D67" s="3">
        <v>6.82</v>
      </c>
      <c r="F67" s="3">
        <v>0.79</v>
      </c>
      <c r="G67" t="str">
        <f t="shared" ref="G67:G130" si="1">TEXT(A67,"HH:mm")</f>
        <v>13:00</v>
      </c>
    </row>
    <row r="68" spans="1:7" x14ac:dyDescent="0.25">
      <c r="A68" s="11" t="s">
        <v>81</v>
      </c>
      <c r="D68" s="3">
        <v>6.84</v>
      </c>
      <c r="F68" s="3">
        <v>0.63</v>
      </c>
      <c r="G68" t="str">
        <f t="shared" si="1"/>
        <v>14:00</v>
      </c>
    </row>
    <row r="69" spans="1:7" x14ac:dyDescent="0.25">
      <c r="A69" s="11" t="s">
        <v>77</v>
      </c>
      <c r="D69" s="3">
        <v>6.88</v>
      </c>
      <c r="F69" s="3">
        <v>0.76</v>
      </c>
      <c r="G69" t="str">
        <f t="shared" si="1"/>
        <v>09:00</v>
      </c>
    </row>
    <row r="70" spans="1:7" x14ac:dyDescent="0.25">
      <c r="A70" s="11" t="s">
        <v>62</v>
      </c>
      <c r="D70" s="3">
        <v>6.89</v>
      </c>
      <c r="F70" s="3">
        <v>0.39</v>
      </c>
      <c r="G70" t="str">
        <f t="shared" si="1"/>
        <v>08:00</v>
      </c>
    </row>
    <row r="71" spans="1:7" x14ac:dyDescent="0.25">
      <c r="A71" s="11" t="s">
        <v>42</v>
      </c>
      <c r="D71" s="3">
        <v>6.93</v>
      </c>
      <c r="F71" s="3">
        <v>0.94</v>
      </c>
      <c r="G71" t="str">
        <f t="shared" si="1"/>
        <v>19:00</v>
      </c>
    </row>
    <row r="72" spans="1:7" x14ac:dyDescent="0.25">
      <c r="A72" s="11" t="s">
        <v>28</v>
      </c>
      <c r="D72" s="3">
        <v>6.94</v>
      </c>
      <c r="F72" s="3">
        <v>0.28000000000000003</v>
      </c>
      <c r="G72" t="str">
        <f t="shared" si="1"/>
        <v>19:00</v>
      </c>
    </row>
    <row r="73" spans="1:7" x14ac:dyDescent="0.25">
      <c r="A73" s="11" t="s">
        <v>70</v>
      </c>
      <c r="D73" s="3">
        <v>6.94</v>
      </c>
      <c r="F73" s="3">
        <v>0.71</v>
      </c>
      <c r="G73" t="str">
        <f t="shared" si="1"/>
        <v>19:00</v>
      </c>
    </row>
    <row r="74" spans="1:7" x14ac:dyDescent="0.25">
      <c r="A74" s="11" t="s">
        <v>80</v>
      </c>
      <c r="D74" s="3">
        <v>7.08</v>
      </c>
      <c r="F74" s="3">
        <v>0.48</v>
      </c>
      <c r="G74" t="str">
        <f t="shared" si="1"/>
        <v>13:00</v>
      </c>
    </row>
    <row r="75" spans="1:7" x14ac:dyDescent="0.25">
      <c r="A75" s="11" t="s">
        <v>106</v>
      </c>
      <c r="D75" s="3">
        <v>7.27</v>
      </c>
      <c r="F75" s="3">
        <v>0.85</v>
      </c>
      <c r="G75" t="str">
        <f t="shared" si="1"/>
        <v>13:00</v>
      </c>
    </row>
    <row r="76" spans="1:7" x14ac:dyDescent="0.25">
      <c r="A76" s="11" t="s">
        <v>76</v>
      </c>
      <c r="D76" s="3">
        <v>7.4</v>
      </c>
      <c r="F76" s="3">
        <v>0.59</v>
      </c>
      <c r="G76" t="str">
        <f t="shared" si="1"/>
        <v>08:00</v>
      </c>
    </row>
    <row r="77" spans="1:7" x14ac:dyDescent="0.25">
      <c r="A77" s="11" t="s">
        <v>98</v>
      </c>
      <c r="D77" s="3">
        <v>7.44</v>
      </c>
      <c r="F77" s="3">
        <v>0.47</v>
      </c>
      <c r="G77" t="str">
        <f t="shared" si="1"/>
        <v>19:00</v>
      </c>
    </row>
    <row r="78" spans="1:7" x14ac:dyDescent="0.25">
      <c r="A78" s="11" t="s">
        <v>14</v>
      </c>
      <c r="D78" s="3">
        <v>7.56</v>
      </c>
      <c r="F78" s="3">
        <v>0.54</v>
      </c>
      <c r="G78" t="str">
        <f t="shared" si="1"/>
        <v>19:00</v>
      </c>
    </row>
    <row r="79" spans="1:7" x14ac:dyDescent="0.25">
      <c r="A79" s="11" t="s">
        <v>6</v>
      </c>
      <c r="D79" s="3">
        <v>7.71</v>
      </c>
      <c r="F79" s="3">
        <v>0.74</v>
      </c>
      <c r="G79" t="str">
        <f t="shared" si="1"/>
        <v>08:00</v>
      </c>
    </row>
    <row r="80" spans="1:7" x14ac:dyDescent="0.25">
      <c r="A80" s="11" t="s">
        <v>52</v>
      </c>
      <c r="D80" s="3">
        <v>7.74</v>
      </c>
      <c r="F80" s="3">
        <v>0.69</v>
      </c>
      <c r="G80" t="str">
        <f t="shared" si="1"/>
        <v>13:00</v>
      </c>
    </row>
    <row r="81" spans="1:7" x14ac:dyDescent="0.25">
      <c r="A81" s="11" t="s">
        <v>20</v>
      </c>
      <c r="D81" s="3">
        <v>7.75</v>
      </c>
      <c r="F81" s="3">
        <v>0.86</v>
      </c>
      <c r="G81" t="str">
        <f t="shared" si="1"/>
        <v>08:00</v>
      </c>
    </row>
    <row r="82" spans="1:7" x14ac:dyDescent="0.25">
      <c r="A82" s="11" t="s">
        <v>4</v>
      </c>
      <c r="E82" s="3">
        <v>0.17</v>
      </c>
      <c r="F82" s="3">
        <v>0.69</v>
      </c>
      <c r="G82" t="str">
        <f t="shared" si="1"/>
        <v>07:00</v>
      </c>
    </row>
    <row r="83" spans="1:7" x14ac:dyDescent="0.25">
      <c r="A83" s="11" t="s">
        <v>18</v>
      </c>
      <c r="E83" s="3">
        <v>0.17</v>
      </c>
      <c r="F83" s="3">
        <v>0.65</v>
      </c>
      <c r="G83" t="str">
        <f t="shared" si="1"/>
        <v>07:00</v>
      </c>
    </row>
    <row r="84" spans="1:7" x14ac:dyDescent="0.25">
      <c r="A84" s="11" t="s">
        <v>32</v>
      </c>
      <c r="E84" s="3">
        <v>0.17</v>
      </c>
      <c r="F84" s="3">
        <v>0.68</v>
      </c>
      <c r="G84" t="str">
        <f t="shared" si="1"/>
        <v>07:00</v>
      </c>
    </row>
    <row r="85" spans="1:7" x14ac:dyDescent="0.25">
      <c r="A85" s="11" t="s">
        <v>46</v>
      </c>
      <c r="E85" s="3">
        <v>0.17</v>
      </c>
      <c r="F85" s="3">
        <v>0.64</v>
      </c>
      <c r="G85" t="str">
        <f t="shared" si="1"/>
        <v>07:00</v>
      </c>
    </row>
    <row r="86" spans="1:7" x14ac:dyDescent="0.25">
      <c r="A86" s="11" t="s">
        <v>60</v>
      </c>
      <c r="E86" s="3">
        <v>0.17</v>
      </c>
      <c r="F86" s="3">
        <v>0.66</v>
      </c>
      <c r="G86" t="str">
        <f t="shared" si="1"/>
        <v>07:00</v>
      </c>
    </row>
    <row r="87" spans="1:7" x14ac:dyDescent="0.25">
      <c r="A87" s="11" t="s">
        <v>74</v>
      </c>
      <c r="E87" s="3">
        <v>0.17</v>
      </c>
      <c r="F87" s="3">
        <v>0.63</v>
      </c>
      <c r="G87" t="str">
        <f t="shared" si="1"/>
        <v>07:00</v>
      </c>
    </row>
    <row r="88" spans="1:7" x14ac:dyDescent="0.25">
      <c r="A88" s="11" t="s">
        <v>88</v>
      </c>
      <c r="E88" s="3">
        <v>0.17</v>
      </c>
      <c r="F88" s="3">
        <v>0.68</v>
      </c>
      <c r="G88" t="str">
        <f t="shared" si="1"/>
        <v>07:00</v>
      </c>
    </row>
    <row r="89" spans="1:7" x14ac:dyDescent="0.25">
      <c r="A89" s="11" t="s">
        <v>101</v>
      </c>
      <c r="E89" s="3">
        <v>0.17</v>
      </c>
      <c r="F89" s="3">
        <v>0.66</v>
      </c>
      <c r="G89" t="str">
        <f t="shared" si="1"/>
        <v>07:00</v>
      </c>
    </row>
    <row r="90" spans="1:7" x14ac:dyDescent="0.25">
      <c r="A90" s="11" t="s">
        <v>84</v>
      </c>
      <c r="B90" s="3">
        <v>90</v>
      </c>
      <c r="C90" s="3">
        <v>71</v>
      </c>
      <c r="F90" s="3">
        <v>0.94</v>
      </c>
      <c r="G90" t="str">
        <f t="shared" si="1"/>
        <v>19:00</v>
      </c>
    </row>
    <row r="91" spans="1:7" x14ac:dyDescent="0.25">
      <c r="A91" s="11" t="s">
        <v>108</v>
      </c>
      <c r="B91" s="3">
        <v>90</v>
      </c>
      <c r="C91" s="3">
        <v>62</v>
      </c>
      <c r="F91" s="3">
        <v>0.28999999999999998</v>
      </c>
      <c r="G91" t="str">
        <f t="shared" si="1"/>
        <v>16:00</v>
      </c>
    </row>
    <row r="92" spans="1:7" x14ac:dyDescent="0.25">
      <c r="A92" s="11" t="s">
        <v>112</v>
      </c>
      <c r="B92" s="3">
        <v>90</v>
      </c>
      <c r="C92" s="3">
        <v>64</v>
      </c>
      <c r="F92" s="3">
        <v>0.6</v>
      </c>
      <c r="G92" t="str">
        <f t="shared" si="1"/>
        <v>22:00</v>
      </c>
    </row>
    <row r="93" spans="1:7" x14ac:dyDescent="0.25">
      <c r="A93" s="11" t="s">
        <v>17</v>
      </c>
      <c r="B93" s="3">
        <v>91</v>
      </c>
      <c r="C93" s="3">
        <v>83</v>
      </c>
      <c r="F93" s="3">
        <v>0.37</v>
      </c>
      <c r="G93" t="str">
        <f t="shared" si="1"/>
        <v>06:00</v>
      </c>
    </row>
    <row r="94" spans="1:7" x14ac:dyDescent="0.25">
      <c r="A94" s="11" t="s">
        <v>115</v>
      </c>
      <c r="B94" s="3">
        <v>91</v>
      </c>
      <c r="C94" s="3">
        <v>79</v>
      </c>
      <c r="F94" s="3">
        <v>0.41</v>
      </c>
      <c r="G94" t="str">
        <f t="shared" si="1"/>
        <v>00:00</v>
      </c>
    </row>
    <row r="95" spans="1:7" x14ac:dyDescent="0.25">
      <c r="A95" s="11" t="s">
        <v>36</v>
      </c>
      <c r="B95" s="3">
        <v>92</v>
      </c>
      <c r="C95" s="3">
        <v>64</v>
      </c>
      <c r="F95" s="3">
        <v>0.61</v>
      </c>
      <c r="G95" t="str">
        <f t="shared" si="1"/>
        <v>10:00</v>
      </c>
    </row>
    <row r="96" spans="1:7" x14ac:dyDescent="0.25">
      <c r="A96" s="11" t="s">
        <v>41</v>
      </c>
      <c r="B96" s="3">
        <v>93</v>
      </c>
      <c r="C96" s="3">
        <v>84</v>
      </c>
      <c r="F96" s="3">
        <v>0.61</v>
      </c>
      <c r="G96" t="str">
        <f t="shared" si="1"/>
        <v>18:00</v>
      </c>
    </row>
    <row r="97" spans="1:7" x14ac:dyDescent="0.25">
      <c r="A97" s="11" t="s">
        <v>55</v>
      </c>
      <c r="B97" s="3">
        <v>93</v>
      </c>
      <c r="C97" s="3">
        <v>61</v>
      </c>
      <c r="F97" s="3">
        <v>0.77</v>
      </c>
      <c r="G97" t="str">
        <f t="shared" si="1"/>
        <v>18:00</v>
      </c>
    </row>
    <row r="98" spans="1:7" x14ac:dyDescent="0.25">
      <c r="A98" s="11" t="s">
        <v>93</v>
      </c>
      <c r="B98" s="3">
        <v>94</v>
      </c>
      <c r="C98" s="3">
        <v>69</v>
      </c>
      <c r="F98" s="3">
        <v>0.91</v>
      </c>
      <c r="G98" t="str">
        <f t="shared" si="1"/>
        <v>12:00</v>
      </c>
    </row>
    <row r="99" spans="1:7" x14ac:dyDescent="0.25">
      <c r="A99" s="11" t="s">
        <v>56</v>
      </c>
      <c r="B99" s="3">
        <v>95</v>
      </c>
      <c r="C99" s="3">
        <v>81</v>
      </c>
      <c r="F99" s="3">
        <v>0.95</v>
      </c>
      <c r="G99" t="str">
        <f t="shared" si="1"/>
        <v>19:00</v>
      </c>
    </row>
    <row r="100" spans="1:7" x14ac:dyDescent="0.25">
      <c r="A100" s="11" t="s">
        <v>97</v>
      </c>
      <c r="B100" s="3">
        <v>96</v>
      </c>
      <c r="C100" s="3">
        <v>68</v>
      </c>
      <c r="F100" s="3">
        <v>0.82</v>
      </c>
      <c r="G100" t="str">
        <f t="shared" si="1"/>
        <v>18:00</v>
      </c>
    </row>
    <row r="101" spans="1:7" x14ac:dyDescent="0.25">
      <c r="A101" s="11" t="s">
        <v>50</v>
      </c>
      <c r="B101" s="3">
        <v>97</v>
      </c>
      <c r="C101" s="3">
        <v>74</v>
      </c>
      <c r="F101" s="3">
        <v>0.64</v>
      </c>
      <c r="G101" t="str">
        <f t="shared" si="1"/>
        <v>10:00</v>
      </c>
    </row>
    <row r="102" spans="1:7" x14ac:dyDescent="0.25">
      <c r="A102" s="11" t="s">
        <v>86</v>
      </c>
      <c r="B102" s="3">
        <v>97</v>
      </c>
      <c r="C102" s="3">
        <v>83</v>
      </c>
      <c r="F102" s="3">
        <v>0.37</v>
      </c>
      <c r="G102" t="str">
        <f t="shared" si="1"/>
        <v>22:00</v>
      </c>
    </row>
    <row r="103" spans="1:7" x14ac:dyDescent="0.25">
      <c r="A103" s="11" t="s">
        <v>98</v>
      </c>
      <c r="B103" s="3">
        <v>97</v>
      </c>
      <c r="C103" s="3">
        <v>71</v>
      </c>
      <c r="F103" s="3">
        <v>0.7</v>
      </c>
      <c r="G103" t="str">
        <f t="shared" si="1"/>
        <v>19:00</v>
      </c>
    </row>
    <row r="104" spans="1:7" x14ac:dyDescent="0.25">
      <c r="A104" s="11" t="s">
        <v>44</v>
      </c>
      <c r="B104" s="3">
        <v>98</v>
      </c>
      <c r="C104" s="3">
        <v>85</v>
      </c>
      <c r="F104" s="3">
        <v>0.4</v>
      </c>
      <c r="G104" t="str">
        <f t="shared" si="1"/>
        <v>22:00</v>
      </c>
    </row>
    <row r="105" spans="1:7" x14ac:dyDescent="0.25">
      <c r="A105" s="11" t="s">
        <v>83</v>
      </c>
      <c r="B105" s="3">
        <v>98</v>
      </c>
      <c r="C105" s="3">
        <v>83</v>
      </c>
      <c r="F105" s="3">
        <v>0.35</v>
      </c>
      <c r="G105" t="str">
        <f t="shared" si="1"/>
        <v>18:00</v>
      </c>
    </row>
    <row r="106" spans="1:7" x14ac:dyDescent="0.25">
      <c r="A106" s="11" t="s">
        <v>64</v>
      </c>
      <c r="B106" s="3">
        <v>99</v>
      </c>
      <c r="C106" s="3">
        <v>89</v>
      </c>
      <c r="F106" s="3">
        <v>0.27</v>
      </c>
      <c r="G106" t="str">
        <f t="shared" si="1"/>
        <v>10:00</v>
      </c>
    </row>
    <row r="107" spans="1:7" x14ac:dyDescent="0.25">
      <c r="A107" s="11" t="s">
        <v>12</v>
      </c>
      <c r="B107" s="3">
        <v>100</v>
      </c>
      <c r="C107" s="3">
        <v>70</v>
      </c>
      <c r="F107" s="3">
        <v>0.95</v>
      </c>
      <c r="G107" t="str">
        <f t="shared" si="1"/>
        <v>16:00</v>
      </c>
    </row>
    <row r="108" spans="1:7" x14ac:dyDescent="0.25">
      <c r="A108" s="11" t="s">
        <v>118</v>
      </c>
      <c r="B108" s="3">
        <v>100</v>
      </c>
      <c r="C108" s="3">
        <v>78</v>
      </c>
      <c r="F108" s="3">
        <v>0.88</v>
      </c>
      <c r="G108" t="str">
        <f t="shared" si="1"/>
        <v>00:00</v>
      </c>
    </row>
    <row r="109" spans="1:7" x14ac:dyDescent="0.25">
      <c r="A109" s="11" t="s">
        <v>24</v>
      </c>
      <c r="B109" s="3">
        <v>101</v>
      </c>
      <c r="C109" s="3">
        <v>85</v>
      </c>
      <c r="F109" s="3">
        <v>0.8</v>
      </c>
      <c r="G109" t="str">
        <f t="shared" si="1"/>
        <v>13:00</v>
      </c>
    </row>
    <row r="110" spans="1:7" x14ac:dyDescent="0.25">
      <c r="A110" s="11" t="s">
        <v>42</v>
      </c>
      <c r="B110" s="3">
        <v>103</v>
      </c>
      <c r="C110" s="3">
        <v>77</v>
      </c>
      <c r="F110" s="3">
        <v>0.65</v>
      </c>
      <c r="G110" t="str">
        <f t="shared" si="1"/>
        <v>19:00</v>
      </c>
    </row>
    <row r="111" spans="1:7" x14ac:dyDescent="0.25">
      <c r="A111" s="11" t="s">
        <v>69</v>
      </c>
      <c r="B111" s="3">
        <v>103</v>
      </c>
      <c r="C111" s="3">
        <v>82</v>
      </c>
      <c r="F111" s="3">
        <v>0.64</v>
      </c>
      <c r="G111" t="str">
        <f t="shared" si="1"/>
        <v>18:00</v>
      </c>
    </row>
    <row r="112" spans="1:7" x14ac:dyDescent="0.25">
      <c r="A112" s="11" t="s">
        <v>110</v>
      </c>
      <c r="B112" s="3">
        <v>103</v>
      </c>
      <c r="C112" s="3">
        <v>62</v>
      </c>
      <c r="F112" s="3">
        <v>0.69</v>
      </c>
      <c r="G112" t="str">
        <f t="shared" si="1"/>
        <v>19:00</v>
      </c>
    </row>
    <row r="113" spans="1:7" x14ac:dyDescent="0.25">
      <c r="A113" s="11" t="s">
        <v>68</v>
      </c>
      <c r="B113" s="3">
        <v>104</v>
      </c>
      <c r="C113" s="3">
        <v>67</v>
      </c>
      <c r="F113" s="3">
        <v>0.2</v>
      </c>
      <c r="G113" t="str">
        <f t="shared" si="1"/>
        <v>16:00</v>
      </c>
    </row>
    <row r="114" spans="1:7" x14ac:dyDescent="0.25">
      <c r="A114" s="11" t="s">
        <v>114</v>
      </c>
      <c r="B114" s="3">
        <v>105</v>
      </c>
      <c r="C114" s="3">
        <v>74</v>
      </c>
      <c r="F114" s="3">
        <v>0.28000000000000003</v>
      </c>
      <c r="G114" t="str">
        <f t="shared" si="1"/>
        <v>00:00</v>
      </c>
    </row>
    <row r="115" spans="1:7" x14ac:dyDescent="0.25">
      <c r="A115" s="11" t="s">
        <v>72</v>
      </c>
      <c r="B115" s="3">
        <v>105</v>
      </c>
      <c r="C115" s="3">
        <v>72</v>
      </c>
      <c r="F115" s="3">
        <v>0.49</v>
      </c>
      <c r="G115" t="str">
        <f t="shared" si="1"/>
        <v>22:00</v>
      </c>
    </row>
    <row r="116" spans="1:7" x14ac:dyDescent="0.25">
      <c r="A116" s="11" t="s">
        <v>47</v>
      </c>
      <c r="B116" s="3">
        <v>106</v>
      </c>
      <c r="C116" s="3">
        <v>71</v>
      </c>
      <c r="F116" s="3">
        <v>0.62</v>
      </c>
      <c r="G116" t="str">
        <f t="shared" si="1"/>
        <v>07:30</v>
      </c>
    </row>
    <row r="117" spans="1:7" x14ac:dyDescent="0.25">
      <c r="A117" s="11" t="s">
        <v>52</v>
      </c>
      <c r="B117" s="3">
        <v>106</v>
      </c>
      <c r="C117" s="3">
        <v>63</v>
      </c>
      <c r="F117" s="3">
        <v>0.71</v>
      </c>
      <c r="G117" t="str">
        <f t="shared" si="1"/>
        <v>13:00</v>
      </c>
    </row>
    <row r="118" spans="1:7" x14ac:dyDescent="0.25">
      <c r="A118" s="11" t="s">
        <v>87</v>
      </c>
      <c r="B118" s="3">
        <v>106</v>
      </c>
      <c r="C118" s="3">
        <v>67</v>
      </c>
      <c r="F118" s="3">
        <v>0.69</v>
      </c>
      <c r="G118" t="str">
        <f t="shared" si="1"/>
        <v>06:00</v>
      </c>
    </row>
    <row r="119" spans="1:7" x14ac:dyDescent="0.25">
      <c r="A119" s="11" t="s">
        <v>117</v>
      </c>
      <c r="B119" s="3">
        <v>107</v>
      </c>
      <c r="C119" s="3">
        <v>74</v>
      </c>
      <c r="F119" s="3">
        <v>0.63</v>
      </c>
      <c r="G119" t="str">
        <f t="shared" si="1"/>
        <v>00:00</v>
      </c>
    </row>
    <row r="120" spans="1:7" x14ac:dyDescent="0.25">
      <c r="A120" s="11" t="s">
        <v>59</v>
      </c>
      <c r="B120" s="3">
        <v>107</v>
      </c>
      <c r="C120" s="3">
        <v>85</v>
      </c>
      <c r="F120" s="3">
        <v>0.92</v>
      </c>
      <c r="G120" t="str">
        <f t="shared" si="1"/>
        <v>06:00</v>
      </c>
    </row>
    <row r="121" spans="1:7" x14ac:dyDescent="0.25">
      <c r="A121" s="11" t="s">
        <v>10</v>
      </c>
      <c r="B121" s="3">
        <v>108</v>
      </c>
      <c r="C121" s="3">
        <v>82</v>
      </c>
      <c r="F121" s="3">
        <v>0.99</v>
      </c>
      <c r="G121" t="str">
        <f t="shared" si="1"/>
        <v>13:00</v>
      </c>
    </row>
    <row r="122" spans="1:7" x14ac:dyDescent="0.25">
      <c r="A122" s="11" t="s">
        <v>9</v>
      </c>
      <c r="B122" s="3">
        <v>110</v>
      </c>
      <c r="C122" s="3">
        <v>66</v>
      </c>
      <c r="F122" s="3">
        <v>0.99</v>
      </c>
      <c r="G122" t="str">
        <f t="shared" si="1"/>
        <v>12:00</v>
      </c>
    </row>
    <row r="123" spans="1:7" x14ac:dyDescent="0.25">
      <c r="A123" s="11" t="s">
        <v>23</v>
      </c>
      <c r="B123" s="3">
        <v>110</v>
      </c>
      <c r="C123" s="3">
        <v>60</v>
      </c>
      <c r="F123" s="3">
        <v>0.78</v>
      </c>
      <c r="G123" t="str">
        <f t="shared" si="1"/>
        <v>12:00</v>
      </c>
    </row>
    <row r="124" spans="1:7" x14ac:dyDescent="0.25">
      <c r="A124" s="11" t="s">
        <v>38</v>
      </c>
      <c r="B124" s="3">
        <v>110</v>
      </c>
      <c r="C124" s="3">
        <v>68</v>
      </c>
      <c r="F124" s="3">
        <v>0.44</v>
      </c>
      <c r="G124" t="str">
        <f t="shared" si="1"/>
        <v>13:00</v>
      </c>
    </row>
    <row r="125" spans="1:7" x14ac:dyDescent="0.25">
      <c r="A125" s="11" t="s">
        <v>113</v>
      </c>
      <c r="B125" s="3">
        <v>111</v>
      </c>
      <c r="C125" s="3">
        <v>80</v>
      </c>
      <c r="F125" s="3">
        <v>0.8</v>
      </c>
      <c r="G125" t="str">
        <f t="shared" si="1"/>
        <v>00:00</v>
      </c>
    </row>
    <row r="126" spans="1:7" x14ac:dyDescent="0.25">
      <c r="A126" s="11" t="s">
        <v>26</v>
      </c>
      <c r="B126" s="3">
        <v>111</v>
      </c>
      <c r="C126" s="3">
        <v>88</v>
      </c>
      <c r="F126" s="3">
        <v>0.33</v>
      </c>
      <c r="G126" t="str">
        <f t="shared" si="1"/>
        <v>16:00</v>
      </c>
    </row>
    <row r="127" spans="1:7" x14ac:dyDescent="0.25">
      <c r="A127" s="11">
        <v>45557.25</v>
      </c>
      <c r="B127" s="3">
        <v>112</v>
      </c>
      <c r="C127" s="3">
        <v>89</v>
      </c>
      <c r="F127" s="3">
        <v>0.46</v>
      </c>
      <c r="G127" t="str">
        <f t="shared" si="1"/>
        <v>06:00</v>
      </c>
    </row>
    <row r="128" spans="1:7" x14ac:dyDescent="0.25">
      <c r="A128" s="11" t="s">
        <v>13</v>
      </c>
      <c r="B128" s="3">
        <v>113</v>
      </c>
      <c r="C128" s="3">
        <v>80</v>
      </c>
      <c r="F128" s="3">
        <v>0.51</v>
      </c>
      <c r="G128" t="str">
        <f t="shared" si="1"/>
        <v>18:00</v>
      </c>
    </row>
    <row r="129" spans="1:7" x14ac:dyDescent="0.25">
      <c r="A129" s="11" t="s">
        <v>16</v>
      </c>
      <c r="B129" s="3">
        <v>113</v>
      </c>
      <c r="C129" s="3">
        <v>62</v>
      </c>
      <c r="F129" s="3">
        <v>0.87</v>
      </c>
      <c r="G129" t="str">
        <f t="shared" si="1"/>
        <v>22:00</v>
      </c>
    </row>
    <row r="130" spans="1:7" x14ac:dyDescent="0.25">
      <c r="A130" s="11" t="s">
        <v>73</v>
      </c>
      <c r="B130" s="3">
        <v>113</v>
      </c>
      <c r="C130" s="3">
        <v>85</v>
      </c>
      <c r="F130" s="3">
        <v>0.92</v>
      </c>
      <c r="G130" t="str">
        <f t="shared" si="1"/>
        <v>06:00</v>
      </c>
    </row>
    <row r="131" spans="1:7" x14ac:dyDescent="0.25">
      <c r="A131" s="11" t="s">
        <v>82</v>
      </c>
      <c r="B131" s="3">
        <v>114</v>
      </c>
      <c r="C131" s="3">
        <v>66</v>
      </c>
      <c r="F131" s="3">
        <v>0.98</v>
      </c>
      <c r="G131" t="str">
        <f t="shared" ref="G131:G169" si="2">TEXT(A131,"HH:mm")</f>
        <v>16:00</v>
      </c>
    </row>
    <row r="132" spans="1:7" x14ac:dyDescent="0.25">
      <c r="A132" s="11" t="s">
        <v>120</v>
      </c>
      <c r="B132" s="3">
        <v>115</v>
      </c>
      <c r="C132" s="3">
        <v>82</v>
      </c>
      <c r="F132" s="3">
        <v>0.69</v>
      </c>
      <c r="G132" t="str">
        <f t="shared" si="2"/>
        <v>00:00</v>
      </c>
    </row>
    <row r="133" spans="1:7" x14ac:dyDescent="0.25">
      <c r="A133" s="11" t="s">
        <v>106</v>
      </c>
      <c r="B133" s="3">
        <v>116</v>
      </c>
      <c r="C133" s="3">
        <v>62</v>
      </c>
      <c r="F133" s="3">
        <v>0.71</v>
      </c>
      <c r="G133" t="str">
        <f t="shared" si="2"/>
        <v>13:00</v>
      </c>
    </row>
    <row r="134" spans="1:7" x14ac:dyDescent="0.25">
      <c r="A134" s="11" t="s">
        <v>45</v>
      </c>
      <c r="B134" s="3">
        <v>117</v>
      </c>
      <c r="C134" s="3">
        <v>74</v>
      </c>
      <c r="F134" s="3">
        <v>0.53</v>
      </c>
      <c r="G134" t="str">
        <f t="shared" si="2"/>
        <v>06:00</v>
      </c>
    </row>
    <row r="135" spans="1:7" x14ac:dyDescent="0.25">
      <c r="A135" s="11" t="s">
        <v>116</v>
      </c>
      <c r="B135" s="3">
        <v>118</v>
      </c>
      <c r="C135" s="3">
        <v>90</v>
      </c>
      <c r="F135" s="3">
        <v>0.62</v>
      </c>
      <c r="G135" t="str">
        <f t="shared" si="2"/>
        <v>00:00</v>
      </c>
    </row>
    <row r="136" spans="1:7" x14ac:dyDescent="0.25">
      <c r="A136" s="11" t="s">
        <v>79</v>
      </c>
      <c r="B136" s="3">
        <v>118</v>
      </c>
      <c r="C136" s="3">
        <v>74</v>
      </c>
      <c r="F136" s="3">
        <v>0.57999999999999996</v>
      </c>
      <c r="G136" t="str">
        <f t="shared" si="2"/>
        <v>12:00</v>
      </c>
    </row>
    <row r="137" spans="1:7" x14ac:dyDescent="0.25">
      <c r="A137" s="11" t="s">
        <v>66</v>
      </c>
      <c r="B137" s="3">
        <v>120</v>
      </c>
      <c r="C137" s="3">
        <v>75</v>
      </c>
      <c r="F137" s="3">
        <v>0.21</v>
      </c>
      <c r="G137" t="str">
        <f t="shared" si="2"/>
        <v>13:00</v>
      </c>
    </row>
    <row r="138" spans="1:7" x14ac:dyDescent="0.25">
      <c r="A138" s="11" t="s">
        <v>92</v>
      </c>
      <c r="B138" s="3">
        <v>122</v>
      </c>
      <c r="C138" s="3">
        <v>86</v>
      </c>
      <c r="F138" s="3">
        <v>0.26</v>
      </c>
      <c r="G138" t="str">
        <f t="shared" si="2"/>
        <v>10:00</v>
      </c>
    </row>
    <row r="139" spans="1:7" x14ac:dyDescent="0.25">
      <c r="A139" s="11" t="s">
        <v>100</v>
      </c>
      <c r="B139" s="3">
        <v>123</v>
      </c>
      <c r="C139" s="3">
        <v>60</v>
      </c>
      <c r="F139" s="3">
        <v>0.24</v>
      </c>
      <c r="G139" t="str">
        <f t="shared" si="2"/>
        <v>22:00</v>
      </c>
    </row>
    <row r="140" spans="1:7" x14ac:dyDescent="0.25">
      <c r="A140" s="11">
        <v>45557.3125</v>
      </c>
      <c r="B140" s="3">
        <v>123</v>
      </c>
      <c r="C140" s="3">
        <v>64</v>
      </c>
      <c r="F140" s="3">
        <v>0.4</v>
      </c>
      <c r="G140" t="str">
        <f t="shared" si="2"/>
        <v>07:30</v>
      </c>
    </row>
    <row r="141" spans="1:7" x14ac:dyDescent="0.25">
      <c r="A141" s="11" t="s">
        <v>51</v>
      </c>
      <c r="B141" s="3">
        <v>124</v>
      </c>
      <c r="C141" s="3">
        <v>73</v>
      </c>
      <c r="F141" s="3">
        <v>0.49</v>
      </c>
      <c r="G141" t="str">
        <f t="shared" si="2"/>
        <v>12:00</v>
      </c>
    </row>
    <row r="142" spans="1:7" x14ac:dyDescent="0.25">
      <c r="A142" s="11" t="s">
        <v>75</v>
      </c>
      <c r="B142" s="3">
        <v>124</v>
      </c>
      <c r="C142" s="3">
        <v>87</v>
      </c>
      <c r="F142" s="3">
        <v>0.36</v>
      </c>
      <c r="G142" t="str">
        <f t="shared" si="2"/>
        <v>07:30</v>
      </c>
    </row>
    <row r="143" spans="1:7" x14ac:dyDescent="0.25">
      <c r="A143" s="11" t="s">
        <v>104</v>
      </c>
      <c r="B143" s="3">
        <v>124</v>
      </c>
      <c r="C143" s="3">
        <v>71</v>
      </c>
      <c r="F143" s="3">
        <v>0.54</v>
      </c>
      <c r="G143" t="str">
        <f t="shared" si="2"/>
        <v>10:00</v>
      </c>
    </row>
    <row r="144" spans="1:7" x14ac:dyDescent="0.25">
      <c r="A144" s="11" t="s">
        <v>14</v>
      </c>
      <c r="B144" s="3">
        <v>125</v>
      </c>
      <c r="C144" s="3">
        <v>67</v>
      </c>
      <c r="F144" s="3">
        <v>0.39</v>
      </c>
      <c r="G144" t="str">
        <f t="shared" si="2"/>
        <v>19:00</v>
      </c>
    </row>
    <row r="145" spans="1:7" x14ac:dyDescent="0.25">
      <c r="A145" s="11" t="s">
        <v>65</v>
      </c>
      <c r="B145" s="3">
        <v>125</v>
      </c>
      <c r="C145" s="3">
        <v>73</v>
      </c>
      <c r="F145" s="3">
        <v>0.92</v>
      </c>
      <c r="G145" t="str">
        <f t="shared" si="2"/>
        <v>12:00</v>
      </c>
    </row>
    <row r="146" spans="1:7" x14ac:dyDescent="0.25">
      <c r="A146" s="11" t="s">
        <v>109</v>
      </c>
      <c r="B146" s="3">
        <v>126</v>
      </c>
      <c r="C146" s="3">
        <v>74</v>
      </c>
      <c r="F146" s="3">
        <v>0.34</v>
      </c>
      <c r="G146" t="str">
        <f t="shared" si="2"/>
        <v>18:00</v>
      </c>
    </row>
    <row r="147" spans="1:7" x14ac:dyDescent="0.25">
      <c r="A147" s="11" t="s">
        <v>22</v>
      </c>
      <c r="B147" s="3">
        <v>127</v>
      </c>
      <c r="C147" s="3">
        <v>61</v>
      </c>
      <c r="F147" s="3">
        <v>0.56000000000000005</v>
      </c>
      <c r="G147" t="str">
        <f t="shared" si="2"/>
        <v>10:00</v>
      </c>
    </row>
    <row r="148" spans="1:7" x14ac:dyDescent="0.25">
      <c r="A148" s="11" t="s">
        <v>3</v>
      </c>
      <c r="B148" s="3">
        <v>128</v>
      </c>
      <c r="C148" s="3">
        <v>79</v>
      </c>
      <c r="F148" s="3">
        <v>0.5</v>
      </c>
      <c r="G148" t="str">
        <f t="shared" si="2"/>
        <v>06:00</v>
      </c>
    </row>
    <row r="149" spans="1:7" x14ac:dyDescent="0.25">
      <c r="A149" s="11" t="s">
        <v>5</v>
      </c>
      <c r="B149" s="3">
        <v>128</v>
      </c>
      <c r="C149" s="3">
        <v>74</v>
      </c>
      <c r="F149" s="3">
        <v>0.56999999999999995</v>
      </c>
      <c r="G149" t="str">
        <f t="shared" si="2"/>
        <v>07:30</v>
      </c>
    </row>
    <row r="150" spans="1:7" x14ac:dyDescent="0.25">
      <c r="A150" s="11" t="s">
        <v>40</v>
      </c>
      <c r="B150" s="3">
        <v>128</v>
      </c>
      <c r="C150" s="3">
        <v>77</v>
      </c>
      <c r="F150" s="3">
        <v>0.45</v>
      </c>
      <c r="G150" t="str">
        <f t="shared" si="2"/>
        <v>16:00</v>
      </c>
    </row>
    <row r="151" spans="1:7" x14ac:dyDescent="0.25">
      <c r="A151" s="11" t="s">
        <v>94</v>
      </c>
      <c r="B151" s="3">
        <v>128</v>
      </c>
      <c r="C151" s="3">
        <v>85</v>
      </c>
      <c r="F151" s="3">
        <v>0.99</v>
      </c>
      <c r="G151" t="str">
        <f t="shared" si="2"/>
        <v>13:00</v>
      </c>
    </row>
    <row r="152" spans="1:7" x14ac:dyDescent="0.25">
      <c r="A152" s="11" t="s">
        <v>70</v>
      </c>
      <c r="B152" s="3">
        <v>129</v>
      </c>
      <c r="C152" s="3">
        <v>80</v>
      </c>
      <c r="F152" s="3">
        <v>0.38</v>
      </c>
      <c r="G152" t="str">
        <f t="shared" si="2"/>
        <v>19:00</v>
      </c>
    </row>
    <row r="153" spans="1:7" x14ac:dyDescent="0.25">
      <c r="A153" s="11" t="s">
        <v>105</v>
      </c>
      <c r="B153" s="3">
        <v>129</v>
      </c>
      <c r="C153" s="3">
        <v>81</v>
      </c>
      <c r="F153" s="3">
        <v>0.93</v>
      </c>
      <c r="G153" t="str">
        <f t="shared" si="2"/>
        <v>12:00</v>
      </c>
    </row>
    <row r="154" spans="1:7" x14ac:dyDescent="0.25">
      <c r="A154" s="11" t="s">
        <v>96</v>
      </c>
      <c r="B154" s="3">
        <v>130</v>
      </c>
      <c r="C154" s="3">
        <v>87</v>
      </c>
      <c r="F154" s="3">
        <v>0.89</v>
      </c>
      <c r="G154" t="str">
        <f t="shared" si="2"/>
        <v>16:00</v>
      </c>
    </row>
    <row r="155" spans="1:7" x14ac:dyDescent="0.25">
      <c r="A155" s="11" t="s">
        <v>30</v>
      </c>
      <c r="B155" s="3">
        <v>131</v>
      </c>
      <c r="C155" s="3">
        <v>87</v>
      </c>
      <c r="F155" s="3">
        <v>0.88</v>
      </c>
      <c r="G155" t="str">
        <f t="shared" si="2"/>
        <v>22:00</v>
      </c>
    </row>
    <row r="156" spans="1:7" x14ac:dyDescent="0.25">
      <c r="A156" s="11" t="s">
        <v>58</v>
      </c>
      <c r="B156" s="3">
        <v>131</v>
      </c>
      <c r="C156" s="3">
        <v>63</v>
      </c>
      <c r="F156" s="3">
        <v>0.73</v>
      </c>
      <c r="G156" t="str">
        <f t="shared" si="2"/>
        <v>22:00</v>
      </c>
    </row>
    <row r="157" spans="1:7" x14ac:dyDescent="0.25">
      <c r="A157" s="11" t="s">
        <v>8</v>
      </c>
      <c r="B157" s="3">
        <v>132</v>
      </c>
      <c r="C157" s="3">
        <v>67</v>
      </c>
      <c r="F157" s="3">
        <v>0.78</v>
      </c>
      <c r="G157" t="str">
        <f t="shared" si="2"/>
        <v>10:00</v>
      </c>
    </row>
    <row r="158" spans="1:7" x14ac:dyDescent="0.25">
      <c r="A158" s="11" t="s">
        <v>27</v>
      </c>
      <c r="B158" s="3">
        <v>133</v>
      </c>
      <c r="C158" s="3">
        <v>84</v>
      </c>
      <c r="F158" s="3">
        <v>0.85</v>
      </c>
      <c r="G158" t="str">
        <f t="shared" si="2"/>
        <v>18:00</v>
      </c>
    </row>
    <row r="159" spans="1:7" x14ac:dyDescent="0.25">
      <c r="A159" s="11" t="s">
        <v>78</v>
      </c>
      <c r="B159" s="3">
        <v>134</v>
      </c>
      <c r="C159" s="3">
        <v>68</v>
      </c>
      <c r="F159" s="3">
        <v>0.23</v>
      </c>
      <c r="G159" t="str">
        <f t="shared" si="2"/>
        <v>10:00</v>
      </c>
    </row>
    <row r="160" spans="1:7" x14ac:dyDescent="0.25">
      <c r="A160" s="11" t="s">
        <v>80</v>
      </c>
      <c r="B160" s="3">
        <v>134</v>
      </c>
      <c r="C160" s="3">
        <v>60</v>
      </c>
      <c r="F160" s="3">
        <v>0.8</v>
      </c>
      <c r="G160" t="str">
        <f t="shared" si="2"/>
        <v>13:00</v>
      </c>
    </row>
    <row r="161" spans="1:7" x14ac:dyDescent="0.25">
      <c r="A161" s="11" t="s">
        <v>89</v>
      </c>
      <c r="B161" s="3">
        <v>134</v>
      </c>
      <c r="C161" s="3">
        <v>62</v>
      </c>
      <c r="F161" s="3">
        <v>0.2</v>
      </c>
      <c r="G161" t="str">
        <f t="shared" si="2"/>
        <v>07:30</v>
      </c>
    </row>
    <row r="162" spans="1:7" x14ac:dyDescent="0.25">
      <c r="A162" s="11" t="s">
        <v>31</v>
      </c>
      <c r="B162" s="3">
        <v>136</v>
      </c>
      <c r="C162" s="3">
        <v>89</v>
      </c>
      <c r="F162" s="3">
        <v>0.65</v>
      </c>
      <c r="G162" t="str">
        <f t="shared" si="2"/>
        <v>06:00</v>
      </c>
    </row>
    <row r="163" spans="1:7" x14ac:dyDescent="0.25">
      <c r="A163" s="11" t="s">
        <v>119</v>
      </c>
      <c r="B163" s="3">
        <v>137</v>
      </c>
      <c r="C163" s="3">
        <v>82</v>
      </c>
      <c r="F163" s="3">
        <v>0.63</v>
      </c>
      <c r="G163" t="str">
        <f t="shared" si="2"/>
        <v>00:00</v>
      </c>
    </row>
    <row r="164" spans="1:7" x14ac:dyDescent="0.25">
      <c r="A164" s="11" t="s">
        <v>28</v>
      </c>
      <c r="B164" s="3">
        <v>138</v>
      </c>
      <c r="C164" s="3">
        <v>86</v>
      </c>
      <c r="F164" s="3">
        <v>0.94</v>
      </c>
      <c r="G164" t="str">
        <f t="shared" si="2"/>
        <v>19:00</v>
      </c>
    </row>
    <row r="165" spans="1:7" x14ac:dyDescent="0.25">
      <c r="A165" s="11" t="s">
        <v>54</v>
      </c>
      <c r="B165" s="3">
        <v>139</v>
      </c>
      <c r="C165" s="3">
        <v>67</v>
      </c>
      <c r="F165" s="3">
        <v>0.89</v>
      </c>
      <c r="G165" t="str">
        <f t="shared" si="2"/>
        <v>16:00</v>
      </c>
    </row>
    <row r="166" spans="1:7" x14ac:dyDescent="0.25">
      <c r="A166" s="11" t="s">
        <v>37</v>
      </c>
      <c r="B166" s="3">
        <v>140</v>
      </c>
      <c r="C166" s="3">
        <v>66</v>
      </c>
      <c r="F166" s="3">
        <v>0.53</v>
      </c>
      <c r="G166" t="str">
        <f t="shared" si="2"/>
        <v>12:00</v>
      </c>
    </row>
    <row r="167" spans="1:7" x14ac:dyDescent="0.25">
      <c r="A167" s="11" t="s">
        <v>19</v>
      </c>
      <c r="B167" s="3">
        <v>143</v>
      </c>
      <c r="C167" s="3">
        <v>89</v>
      </c>
      <c r="F167" s="3">
        <v>0.23</v>
      </c>
      <c r="G167" t="str">
        <f t="shared" si="2"/>
        <v>07:30</v>
      </c>
    </row>
    <row r="168" spans="1:7" x14ac:dyDescent="0.25">
      <c r="A168" s="11" t="s">
        <v>61</v>
      </c>
      <c r="B168" s="3">
        <v>143</v>
      </c>
      <c r="C168" s="3">
        <v>61</v>
      </c>
      <c r="F168" s="3">
        <v>0.82</v>
      </c>
      <c r="G168" t="str">
        <f t="shared" si="2"/>
        <v>07:30</v>
      </c>
    </row>
    <row r="169" spans="1:7" x14ac:dyDescent="0.25">
      <c r="A169" s="11" t="s">
        <v>33</v>
      </c>
      <c r="B169" s="3">
        <v>150</v>
      </c>
      <c r="C169" s="3">
        <v>71</v>
      </c>
      <c r="F169" s="3">
        <v>0.6</v>
      </c>
      <c r="G169" t="str">
        <f t="shared" si="2"/>
        <v>07:30</v>
      </c>
    </row>
  </sheetData>
  <autoFilter ref="A1:F169" xr:uid="{00000000-0001-0000-0000-000000000000}">
    <sortState xmlns:xlrd2="http://schemas.microsoft.com/office/spreadsheetml/2017/richdata2" ref="A2:F169">
      <sortCondition ref="D1:D169"/>
    </sortState>
  </autoFilter>
  <mergeCells count="1">
    <mergeCell ref="K3:L3"/>
  </mergeCells>
  <phoneticPr fontId="2" type="noConversion"/>
  <pageMargins left="0.75" right="0.75" top="1" bottom="1" header="0.5" footer="0.5"/>
  <pageSetup paperSize="9"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雨晨 栾</cp:lastModifiedBy>
  <dcterms:created xsi:type="dcterms:W3CDTF">2024-09-15T15:21:25Z</dcterms:created>
  <dcterms:modified xsi:type="dcterms:W3CDTF">2025-07-22T00:47:26Z</dcterms:modified>
</cp:coreProperties>
</file>